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ЭтаКнига"/>
  <mc:AlternateContent xmlns:mc="http://schemas.openxmlformats.org/markup-compatibility/2006">
    <mc:Choice Requires="x15">
      <x15ac:absPath xmlns:x15ac="http://schemas.microsoft.com/office/spreadsheetml/2010/11/ac" url="E:\Крылья\Мои\2021\11(80)\"/>
    </mc:Choice>
  </mc:AlternateContent>
  <bookViews>
    <workbookView xWindow="120" yWindow="120" windowWidth="8556" windowHeight="5256" tabRatio="591" firstSheet="1" activeTab="3"/>
  </bookViews>
  <sheets>
    <sheet name="ИД и расчеты" sheetId="6" r:id="rId1"/>
    <sheet name="Индексы" sheetId="8" r:id="rId2"/>
    <sheet name="Породы" sheetId="2" r:id="rId3"/>
    <sheet name="Результаты" sheetId="3" r:id="rId4"/>
    <sheet name="Графики" sheetId="7" r:id="rId5"/>
    <sheet name="График CI" sheetId="14" r:id="rId6"/>
    <sheet name="График DsA" sheetId="12" r:id="rId7"/>
    <sheet name="График HI" sheetId="13" r:id="rId8"/>
    <sheet name="Анализ" sheetId="10" r:id="rId9"/>
    <sheet name="Что нового" sheetId="11" r:id="rId10"/>
  </sheets>
  <definedNames>
    <definedName name="solver_adj" localSheetId="1" hidden="1">Индексы!$E$105</definedName>
    <definedName name="solver_cvg" localSheetId="1" hidden="1">0.00001</definedName>
    <definedName name="solver_drv" localSheetId="1" hidden="1">1</definedName>
    <definedName name="solver_est" localSheetId="1" hidden="1">1</definedName>
    <definedName name="solver_itr" localSheetId="1" hidden="1">10000</definedName>
    <definedName name="solver_lhs1" localSheetId="1" hidden="1">Индексы!$B$108</definedName>
    <definedName name="solver_lhs2" localSheetId="1" hidden="1">Индексы!$B$109</definedName>
    <definedName name="solver_lhs3" localSheetId="1" hidden="1">Индексы!$C$108</definedName>
    <definedName name="solver_lhs4" localSheetId="1" hidden="1">Индексы!$C$109</definedName>
    <definedName name="solver_lhs5" localSheetId="1" hidden="1">Индексы!$D$108</definedName>
    <definedName name="solver_lhs6" localSheetId="1" hidden="1">Индексы!$D$109</definedName>
    <definedName name="solver_lin" localSheetId="1" hidden="1">2</definedName>
    <definedName name="solver_neg" localSheetId="1" hidden="1">2</definedName>
    <definedName name="solver_num" localSheetId="1" hidden="1">6</definedName>
    <definedName name="solver_nwt" localSheetId="1" hidden="1">1</definedName>
    <definedName name="solver_opt" localSheetId="1" hidden="1">Индексы!$G$105</definedName>
    <definedName name="solver_pre" localSheetId="1" hidden="1">0.0001</definedName>
    <definedName name="solver_rel1" localSheetId="1" hidden="1">3</definedName>
    <definedName name="solver_rel2" localSheetId="1" hidden="1">1</definedName>
    <definedName name="solver_rel3" localSheetId="1" hidden="1">3</definedName>
    <definedName name="solver_rel4" localSheetId="1" hidden="1">1</definedName>
    <definedName name="solver_rel5" localSheetId="1" hidden="1">3</definedName>
    <definedName name="solver_rel6" localSheetId="1" hidden="1">1</definedName>
    <definedName name="solver_rhs1" localSheetId="1" hidden="1">Индексы!#REF!</definedName>
    <definedName name="solver_rhs2" localSheetId="1" hidden="1">Индексы!#REF!</definedName>
    <definedName name="solver_rhs3" localSheetId="1" hidden="1">Индексы!#REF!</definedName>
    <definedName name="solver_rhs4" localSheetId="1" hidden="1">Индексы!#REF!</definedName>
    <definedName name="solver_rhs5" localSheetId="1" hidden="1">Индексы!#REF!</definedName>
    <definedName name="solver_rhs6" localSheetId="1" hidden="1">Индексы!#REF!</definedName>
    <definedName name="solver_scl" localSheetId="1" hidden="1">1</definedName>
    <definedName name="solver_sho" localSheetId="1" hidden="1">2</definedName>
    <definedName name="solver_tim" localSheetId="1" hidden="1">100</definedName>
    <definedName name="solver_tol" localSheetId="1" hidden="1">0.000005</definedName>
    <definedName name="solver_typ" localSheetId="1" hidden="1">1</definedName>
    <definedName name="solver_val" localSheetId="1" hidden="1">0</definedName>
    <definedName name="_xlnm.Print_Area" localSheetId="8">Анализ!$A$1:$E$30</definedName>
    <definedName name="_xlnm.Print_Area" localSheetId="0">'ИД и расчеты'!$A$1:$P$204</definedName>
    <definedName name="_xlnm.Print_Area" localSheetId="1">Индексы!$A$1:$K$106</definedName>
    <definedName name="_xlnm.Print_Area" localSheetId="2">Породы!$A$2:$M$11</definedName>
    <definedName name="_xlnm.Print_Area" localSheetId="3">Результаты!$A$1:$K$103</definedName>
  </definedNames>
  <calcPr calcId="152511"/>
</workbook>
</file>

<file path=xl/calcChain.xml><?xml version="1.0" encoding="utf-8"?>
<calcChain xmlns="http://schemas.openxmlformats.org/spreadsheetml/2006/main">
  <c r="D110" i="8" l="1"/>
  <c r="C110" i="8"/>
  <c r="B110" i="8"/>
  <c r="D102" i="8"/>
  <c r="C102" i="8"/>
  <c r="B102" i="8"/>
  <c r="G1" i="7" l="1"/>
  <c r="J2" i="7"/>
  <c r="G2" i="7" s="1"/>
  <c r="J3" i="7"/>
  <c r="G3" i="7" s="1"/>
  <c r="C106" i="8"/>
  <c r="D106" i="8"/>
  <c r="B106" i="8"/>
  <c r="C105" i="8"/>
  <c r="D105" i="8"/>
  <c r="B105" i="8"/>
  <c r="S32" i="10"/>
  <c r="U32" i="10"/>
  <c r="W56" i="10"/>
  <c r="U56" i="10"/>
  <c r="S56" i="10"/>
  <c r="R56" i="10"/>
  <c r="W54" i="10"/>
  <c r="U54" i="10"/>
  <c r="S54" i="10"/>
  <c r="R54" i="10"/>
  <c r="E1" i="7" a="1"/>
  <c r="E23" i="7" s="1"/>
  <c r="R32" i="10"/>
  <c r="R30" i="10"/>
  <c r="F4" i="7"/>
  <c r="F5" i="7"/>
  <c r="F6" i="7" s="1"/>
  <c r="F7" i="7" s="1"/>
  <c r="F8" i="7" s="1"/>
  <c r="F9" i="7" s="1"/>
  <c r="F10" i="7" s="1"/>
  <c r="F11" i="7" s="1"/>
  <c r="F12" i="7" s="1"/>
  <c r="F13" i="7" s="1"/>
  <c r="F14" i="7" s="1"/>
  <c r="F15" i="7" s="1"/>
  <c r="F16" i="7" s="1"/>
  <c r="F17" i="7" s="1"/>
  <c r="F18" i="7" s="1"/>
  <c r="F19" i="7" s="1"/>
  <c r="F20" i="7" s="1"/>
  <c r="F21" i="7" s="1"/>
  <c r="F22" i="7" s="1"/>
  <c r="F23" i="7" s="1"/>
  <c r="F24" i="7" s="1"/>
  <c r="F25" i="7" s="1"/>
  <c r="F26" i="7" s="1"/>
  <c r="F27" i="7" s="1"/>
  <c r="F28" i="7" s="1"/>
  <c r="F29" i="7" s="1"/>
  <c r="F30" i="7" s="1"/>
  <c r="F31" i="7" s="1"/>
  <c r="F32" i="7" s="1"/>
  <c r="F33" i="7" s="1"/>
  <c r="I3" i="7"/>
  <c r="I4" i="7"/>
  <c r="I5" i="7" s="1"/>
  <c r="I6" i="7" s="1"/>
  <c r="I7" i="7" s="1"/>
  <c r="I8" i="7" s="1"/>
  <c r="I9" i="7" s="1"/>
  <c r="I10" i="7" s="1"/>
  <c r="I11" i="7" s="1"/>
  <c r="I12" i="7" s="1"/>
  <c r="I13" i="7" s="1"/>
  <c r="I14" i="7" s="1"/>
  <c r="I15" i="7" s="1"/>
  <c r="I16" i="7" s="1"/>
  <c r="I17" i="7" s="1"/>
  <c r="I18" i="7" s="1"/>
  <c r="I19" i="7" s="1"/>
  <c r="I20" i="7" s="1"/>
  <c r="I21" i="7" s="1"/>
  <c r="I22" i="7" s="1"/>
  <c r="I23" i="7" s="1"/>
  <c r="I24" i="7" s="1"/>
  <c r="I25" i="7" s="1"/>
  <c r="I26" i="7" s="1"/>
  <c r="I27" i="7" s="1"/>
  <c r="I28" i="7" s="1"/>
  <c r="I29" i="7" s="1"/>
  <c r="I30" i="7" s="1"/>
  <c r="I31" i="7" s="1"/>
  <c r="B106" i="6"/>
  <c r="D106" i="6"/>
  <c r="B107" i="6"/>
  <c r="D107" i="6"/>
  <c r="B108" i="6"/>
  <c r="D108" i="6"/>
  <c r="B109" i="6"/>
  <c r="D109" i="6"/>
  <c r="B110" i="6"/>
  <c r="D110" i="6"/>
  <c r="B111" i="6"/>
  <c r="D111" i="6"/>
  <c r="B112" i="6"/>
  <c r="D112" i="6"/>
  <c r="B113" i="6"/>
  <c r="D113" i="6"/>
  <c r="B114" i="6"/>
  <c r="D114" i="6"/>
  <c r="B115" i="6"/>
  <c r="D115" i="6"/>
  <c r="B116" i="6"/>
  <c r="D116" i="6"/>
  <c r="B117" i="6"/>
  <c r="D117" i="6"/>
  <c r="B118" i="6"/>
  <c r="D118" i="6"/>
  <c r="B119" i="6"/>
  <c r="D119" i="6"/>
  <c r="B120" i="6"/>
  <c r="D120" i="6"/>
  <c r="B121" i="6"/>
  <c r="D121" i="6"/>
  <c r="B122" i="6"/>
  <c r="D122" i="6"/>
  <c r="B123" i="6"/>
  <c r="D123" i="6"/>
  <c r="B124" i="6"/>
  <c r="D124" i="6"/>
  <c r="B125" i="6"/>
  <c r="D125" i="6"/>
  <c r="B126" i="6"/>
  <c r="D126" i="6"/>
  <c r="B127" i="6"/>
  <c r="D127" i="6"/>
  <c r="B128" i="6"/>
  <c r="D128" i="6"/>
  <c r="B129" i="6"/>
  <c r="D129" i="6"/>
  <c r="B130" i="6"/>
  <c r="D130" i="6"/>
  <c r="B131" i="6"/>
  <c r="D131" i="6"/>
  <c r="B132" i="6"/>
  <c r="D132" i="6"/>
  <c r="B133" i="6"/>
  <c r="D133" i="6"/>
  <c r="B134" i="6"/>
  <c r="D134" i="6"/>
  <c r="B135" i="6"/>
  <c r="D135" i="6"/>
  <c r="B136" i="6"/>
  <c r="D136" i="6"/>
  <c r="B137" i="6"/>
  <c r="D137" i="6"/>
  <c r="B138" i="6"/>
  <c r="D138" i="6"/>
  <c r="B139" i="6"/>
  <c r="D139" i="6"/>
  <c r="B140" i="6"/>
  <c r="D140" i="6"/>
  <c r="B141" i="6"/>
  <c r="D141" i="6"/>
  <c r="B142" i="6"/>
  <c r="D142" i="6"/>
  <c r="B143" i="6"/>
  <c r="D143" i="6"/>
  <c r="B144" i="6"/>
  <c r="C144" i="6"/>
  <c r="D144" i="6"/>
  <c r="B145" i="6"/>
  <c r="C145" i="6"/>
  <c r="D145" i="6"/>
  <c r="B146" i="6"/>
  <c r="C146" i="6"/>
  <c r="D146" i="6"/>
  <c r="B147" i="6"/>
  <c r="C147" i="6"/>
  <c r="D147" i="6"/>
  <c r="B148" i="6"/>
  <c r="C148" i="6"/>
  <c r="D148" i="6"/>
  <c r="B149" i="6"/>
  <c r="C149" i="6"/>
  <c r="D149" i="6"/>
  <c r="B150" i="6"/>
  <c r="C150" i="6"/>
  <c r="D150" i="6"/>
  <c r="B151" i="6"/>
  <c r="C151" i="6"/>
  <c r="D151" i="6"/>
  <c r="B152" i="6"/>
  <c r="C152" i="6"/>
  <c r="D152" i="6"/>
  <c r="B153" i="6"/>
  <c r="C153" i="6"/>
  <c r="D153" i="6"/>
  <c r="B154" i="6"/>
  <c r="C154" i="6"/>
  <c r="D154" i="6"/>
  <c r="B155" i="6"/>
  <c r="C155" i="6"/>
  <c r="D155" i="6"/>
  <c r="B156" i="6"/>
  <c r="C156" i="6"/>
  <c r="D156" i="6"/>
  <c r="B157" i="6"/>
  <c r="C157" i="6"/>
  <c r="D157" i="6"/>
  <c r="B158" i="6"/>
  <c r="C158" i="6"/>
  <c r="D158" i="6"/>
  <c r="B159" i="6"/>
  <c r="C159" i="6"/>
  <c r="D159" i="6"/>
  <c r="B160" i="6"/>
  <c r="C160" i="6"/>
  <c r="D160" i="6"/>
  <c r="B161" i="6"/>
  <c r="C161" i="6"/>
  <c r="D161" i="6"/>
  <c r="B162" i="6"/>
  <c r="C162" i="6"/>
  <c r="D162" i="6"/>
  <c r="B163" i="6"/>
  <c r="C163" i="6"/>
  <c r="D163" i="6"/>
  <c r="B164" i="6"/>
  <c r="C164" i="6"/>
  <c r="D164" i="6"/>
  <c r="B165" i="6"/>
  <c r="C165" i="6"/>
  <c r="D165" i="6"/>
  <c r="B166" i="6"/>
  <c r="C166" i="6"/>
  <c r="D166" i="6"/>
  <c r="B167" i="6"/>
  <c r="C167" i="6"/>
  <c r="D167" i="6"/>
  <c r="B168" i="6"/>
  <c r="C168" i="6"/>
  <c r="D168" i="6"/>
  <c r="B169" i="6"/>
  <c r="C169" i="6"/>
  <c r="D169" i="6"/>
  <c r="B170" i="6"/>
  <c r="C170" i="6"/>
  <c r="D170" i="6"/>
  <c r="B171" i="6"/>
  <c r="C171" i="6"/>
  <c r="D171" i="6"/>
  <c r="B172" i="6"/>
  <c r="C172" i="6"/>
  <c r="D172" i="6"/>
  <c r="B173" i="6"/>
  <c r="C173" i="6"/>
  <c r="D173" i="6"/>
  <c r="B174" i="6"/>
  <c r="C174" i="6"/>
  <c r="D174" i="6"/>
  <c r="B175" i="6"/>
  <c r="C175" i="6"/>
  <c r="D175" i="6"/>
  <c r="B176" i="6"/>
  <c r="C176" i="6"/>
  <c r="D176" i="6"/>
  <c r="B177" i="6"/>
  <c r="C177" i="6"/>
  <c r="D177" i="6"/>
  <c r="B178" i="6"/>
  <c r="C178" i="6"/>
  <c r="D178" i="6"/>
  <c r="B179" i="6"/>
  <c r="C179" i="6"/>
  <c r="D179" i="6"/>
  <c r="B180" i="6"/>
  <c r="C180" i="6"/>
  <c r="D180" i="6"/>
  <c r="B181" i="6"/>
  <c r="C181" i="6"/>
  <c r="D181" i="6"/>
  <c r="B182" i="6"/>
  <c r="C182" i="6"/>
  <c r="D182" i="6"/>
  <c r="B183" i="6"/>
  <c r="C183" i="6"/>
  <c r="D183" i="6"/>
  <c r="B184" i="6"/>
  <c r="C184" i="6"/>
  <c r="D184" i="6"/>
  <c r="B185" i="6"/>
  <c r="C185" i="6"/>
  <c r="D185" i="6"/>
  <c r="B186" i="6"/>
  <c r="C186" i="6"/>
  <c r="D186" i="6"/>
  <c r="B187" i="6"/>
  <c r="C187" i="6"/>
  <c r="D187" i="6"/>
  <c r="B188" i="6"/>
  <c r="C188" i="6"/>
  <c r="D188" i="6"/>
  <c r="B189" i="6"/>
  <c r="C189" i="6"/>
  <c r="D189" i="6"/>
  <c r="B190" i="6"/>
  <c r="C190" i="6"/>
  <c r="D190" i="6"/>
  <c r="B191" i="6"/>
  <c r="C191" i="6"/>
  <c r="D191" i="6"/>
  <c r="B192" i="6"/>
  <c r="C192" i="6"/>
  <c r="D192" i="6"/>
  <c r="B193" i="6"/>
  <c r="C193" i="6"/>
  <c r="D193" i="6"/>
  <c r="B194" i="6"/>
  <c r="C194" i="6"/>
  <c r="D194" i="6"/>
  <c r="B195" i="6"/>
  <c r="C195" i="6"/>
  <c r="D195" i="6"/>
  <c r="B196" i="6"/>
  <c r="C196" i="6"/>
  <c r="D196" i="6"/>
  <c r="B197" i="6"/>
  <c r="C197" i="6"/>
  <c r="D197" i="6"/>
  <c r="B198" i="6"/>
  <c r="C198" i="6"/>
  <c r="D198" i="6"/>
  <c r="B199" i="6"/>
  <c r="C199" i="6"/>
  <c r="D199" i="6"/>
  <c r="B200" i="6"/>
  <c r="C200" i="6"/>
  <c r="D200" i="6"/>
  <c r="B201" i="6"/>
  <c r="C201" i="6"/>
  <c r="D201" i="6"/>
  <c r="B202" i="6"/>
  <c r="C202" i="6"/>
  <c r="D202" i="6"/>
  <c r="B203" i="6"/>
  <c r="C203" i="6"/>
  <c r="D203" i="6"/>
  <c r="B204" i="6"/>
  <c r="C204" i="6"/>
  <c r="D204" i="6"/>
  <c r="D105" i="6"/>
  <c r="B105" i="6"/>
  <c r="W32" i="10"/>
  <c r="W30" i="10"/>
  <c r="U30" i="10"/>
  <c r="S30" i="10"/>
  <c r="R1" i="6"/>
  <c r="B103" i="8"/>
  <c r="C6" i="10" s="1"/>
  <c r="C103" i="8"/>
  <c r="C108" i="8" s="1"/>
  <c r="D103" i="8"/>
  <c r="C1" i="7" a="1"/>
  <c r="C4" i="7" s="1"/>
  <c r="E2"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3"/>
  <c r="D102" i="3"/>
  <c r="C102" i="3"/>
  <c r="B102" i="3"/>
  <c r="E101" i="3"/>
  <c r="D101" i="3"/>
  <c r="C101" i="3"/>
  <c r="B101" i="3"/>
  <c r="E100" i="3"/>
  <c r="D100" i="3"/>
  <c r="C100" i="3"/>
  <c r="B100" i="3"/>
  <c r="E99" i="3"/>
  <c r="D99" i="3"/>
  <c r="C99" i="3"/>
  <c r="B99" i="3"/>
  <c r="E98" i="3"/>
  <c r="D98" i="3"/>
  <c r="C98" i="3"/>
  <c r="B98" i="3"/>
  <c r="E97" i="3"/>
  <c r="D97" i="3"/>
  <c r="C97" i="3"/>
  <c r="B97" i="3"/>
  <c r="E96" i="3"/>
  <c r="D96" i="3"/>
  <c r="C96" i="3"/>
  <c r="B96" i="3"/>
  <c r="E95" i="3"/>
  <c r="D95" i="3"/>
  <c r="C95" i="3"/>
  <c r="B95" i="3"/>
  <c r="E94" i="3"/>
  <c r="D94" i="3"/>
  <c r="C94" i="3"/>
  <c r="B94" i="3"/>
  <c r="E93" i="3"/>
  <c r="D93" i="3"/>
  <c r="C93" i="3"/>
  <c r="B93" i="3"/>
  <c r="E92" i="3"/>
  <c r="D92" i="3"/>
  <c r="C92" i="3"/>
  <c r="B92" i="3"/>
  <c r="E91" i="3"/>
  <c r="D91" i="3"/>
  <c r="C91" i="3"/>
  <c r="B91" i="3"/>
  <c r="E90" i="3"/>
  <c r="D90" i="3"/>
  <c r="C90" i="3"/>
  <c r="B90" i="3"/>
  <c r="E89" i="3"/>
  <c r="D89" i="3"/>
  <c r="C89" i="3"/>
  <c r="B89" i="3"/>
  <c r="E88" i="3"/>
  <c r="D88" i="3"/>
  <c r="C88" i="3"/>
  <c r="B88" i="3"/>
  <c r="E87" i="3"/>
  <c r="D87" i="3"/>
  <c r="C87" i="3"/>
  <c r="B87" i="3"/>
  <c r="E86" i="3"/>
  <c r="D86" i="3"/>
  <c r="C86" i="3"/>
  <c r="B86" i="3"/>
  <c r="E85" i="3"/>
  <c r="D85" i="3"/>
  <c r="C85" i="3"/>
  <c r="B85" i="3"/>
  <c r="E84" i="3"/>
  <c r="D84" i="3"/>
  <c r="C84" i="3"/>
  <c r="B84" i="3"/>
  <c r="E83" i="3"/>
  <c r="D83" i="3"/>
  <c r="C83" i="3"/>
  <c r="B83" i="3"/>
  <c r="E82" i="3"/>
  <c r="D82" i="3"/>
  <c r="C82" i="3"/>
  <c r="B82" i="3"/>
  <c r="E81" i="3"/>
  <c r="D81" i="3"/>
  <c r="C81" i="3"/>
  <c r="B81" i="3"/>
  <c r="E80" i="3"/>
  <c r="D80" i="3"/>
  <c r="C80" i="3"/>
  <c r="B80" i="3"/>
  <c r="E79" i="3"/>
  <c r="D79" i="3"/>
  <c r="C79" i="3"/>
  <c r="B79" i="3"/>
  <c r="E78" i="3"/>
  <c r="D78" i="3"/>
  <c r="C78" i="3"/>
  <c r="B78" i="3"/>
  <c r="E77" i="3"/>
  <c r="D77" i="3"/>
  <c r="C77" i="3"/>
  <c r="B77" i="3"/>
  <c r="E76" i="3"/>
  <c r="D76" i="3"/>
  <c r="C76" i="3"/>
  <c r="B76" i="3"/>
  <c r="E75" i="3"/>
  <c r="D75" i="3"/>
  <c r="C75" i="3"/>
  <c r="B75" i="3"/>
  <c r="E74" i="3"/>
  <c r="D74" i="3"/>
  <c r="C74" i="3"/>
  <c r="B74" i="3"/>
  <c r="E73" i="3"/>
  <c r="D73" i="3"/>
  <c r="C73" i="3"/>
  <c r="B73" i="3"/>
  <c r="E72" i="3"/>
  <c r="D72" i="3"/>
  <c r="C72" i="3"/>
  <c r="B72" i="3"/>
  <c r="E71" i="3"/>
  <c r="D71" i="3"/>
  <c r="C71" i="3"/>
  <c r="B71" i="3"/>
  <c r="E70" i="3"/>
  <c r="D70" i="3"/>
  <c r="C70" i="3"/>
  <c r="B70" i="3"/>
  <c r="E69" i="3"/>
  <c r="D69" i="3"/>
  <c r="C69" i="3"/>
  <c r="B69" i="3"/>
  <c r="E68" i="3"/>
  <c r="D68" i="3"/>
  <c r="C68" i="3"/>
  <c r="B68" i="3"/>
  <c r="E67" i="3"/>
  <c r="D67" i="3"/>
  <c r="C67" i="3"/>
  <c r="B67" i="3"/>
  <c r="E66" i="3"/>
  <c r="D66" i="3"/>
  <c r="C66" i="3"/>
  <c r="B66" i="3"/>
  <c r="E65" i="3"/>
  <c r="D65" i="3"/>
  <c r="C65" i="3"/>
  <c r="B65" i="3"/>
  <c r="E64" i="3"/>
  <c r="D64" i="3"/>
  <c r="C64" i="3"/>
  <c r="B64" i="3"/>
  <c r="E63" i="3"/>
  <c r="D63" i="3"/>
  <c r="C63" i="3"/>
  <c r="B63" i="3"/>
  <c r="E62" i="3"/>
  <c r="D62" i="3"/>
  <c r="C62" i="3"/>
  <c r="B62" i="3"/>
  <c r="E61" i="3"/>
  <c r="D61" i="3"/>
  <c r="C61" i="3"/>
  <c r="B61" i="3"/>
  <c r="E60" i="3"/>
  <c r="D60" i="3"/>
  <c r="C60" i="3"/>
  <c r="B60" i="3"/>
  <c r="E59" i="3"/>
  <c r="D59" i="3"/>
  <c r="C59" i="3"/>
  <c r="B59" i="3"/>
  <c r="E58" i="3"/>
  <c r="D58" i="3"/>
  <c r="C58" i="3"/>
  <c r="B58" i="3"/>
  <c r="E57" i="3"/>
  <c r="D57" i="3"/>
  <c r="C57" i="3"/>
  <c r="B57" i="3"/>
  <c r="E56" i="3"/>
  <c r="D56" i="3"/>
  <c r="C56" i="3"/>
  <c r="B56" i="3"/>
  <c r="E55" i="3"/>
  <c r="D55" i="3"/>
  <c r="C55" i="3"/>
  <c r="B55" i="3"/>
  <c r="E54" i="3"/>
  <c r="D54" i="3"/>
  <c r="C54" i="3"/>
  <c r="B54" i="3"/>
  <c r="E53" i="3"/>
  <c r="D53" i="3"/>
  <c r="C53" i="3"/>
  <c r="B53" i="3"/>
  <c r="E52" i="3"/>
  <c r="D52" i="3"/>
  <c r="C52" i="3"/>
  <c r="B52" i="3"/>
  <c r="E51" i="3"/>
  <c r="D51" i="3"/>
  <c r="C51" i="3"/>
  <c r="B51" i="3"/>
  <c r="E50" i="3"/>
  <c r="D50" i="3"/>
  <c r="C50" i="3"/>
  <c r="B50" i="3"/>
  <c r="E49" i="3"/>
  <c r="D49" i="3"/>
  <c r="C49" i="3"/>
  <c r="B49" i="3"/>
  <c r="E48" i="3"/>
  <c r="D48" i="3"/>
  <c r="C48" i="3"/>
  <c r="B48" i="3"/>
  <c r="E47" i="3"/>
  <c r="D47" i="3"/>
  <c r="C47" i="3"/>
  <c r="B47" i="3"/>
  <c r="E46" i="3"/>
  <c r="D46" i="3"/>
  <c r="C46" i="3"/>
  <c r="B46" i="3"/>
  <c r="E45" i="3"/>
  <c r="D45" i="3"/>
  <c r="C45" i="3"/>
  <c r="B45" i="3"/>
  <c r="E44" i="3"/>
  <c r="D44" i="3"/>
  <c r="C44" i="3"/>
  <c r="B44" i="3"/>
  <c r="E43" i="3"/>
  <c r="D43" i="3"/>
  <c r="C43" i="3"/>
  <c r="B43" i="3"/>
  <c r="E42" i="3"/>
  <c r="D42" i="3"/>
  <c r="C42" i="3"/>
  <c r="B42" i="3"/>
  <c r="E41" i="3"/>
  <c r="D41" i="3"/>
  <c r="C41" i="3"/>
  <c r="B41" i="3"/>
  <c r="E40" i="3"/>
  <c r="D40" i="3"/>
  <c r="C40" i="3"/>
  <c r="B40" i="3"/>
  <c r="E39" i="3"/>
  <c r="D39" i="3"/>
  <c r="C39" i="3"/>
  <c r="B39" i="3"/>
  <c r="E38" i="3"/>
  <c r="D38" i="3"/>
  <c r="C38" i="3"/>
  <c r="B38" i="3"/>
  <c r="E37" i="3"/>
  <c r="D37" i="3"/>
  <c r="C37" i="3"/>
  <c r="B37" i="3"/>
  <c r="E36" i="3"/>
  <c r="D36" i="3"/>
  <c r="C36" i="3"/>
  <c r="B36" i="3"/>
  <c r="E35" i="3"/>
  <c r="D35" i="3"/>
  <c r="C35" i="3"/>
  <c r="B35" i="3"/>
  <c r="E34" i="3"/>
  <c r="D34" i="3"/>
  <c r="C34" i="3"/>
  <c r="B34" i="3"/>
  <c r="E33" i="3"/>
  <c r="D33" i="3"/>
  <c r="C33" i="3"/>
  <c r="B33" i="3"/>
  <c r="E32" i="3"/>
  <c r="D32" i="3"/>
  <c r="C32" i="3"/>
  <c r="B32" i="3"/>
  <c r="E31" i="3"/>
  <c r="D31" i="3"/>
  <c r="C31" i="3"/>
  <c r="B31" i="3"/>
  <c r="E30" i="3"/>
  <c r="D30" i="3"/>
  <c r="C30" i="3"/>
  <c r="B30" i="3"/>
  <c r="E29" i="3"/>
  <c r="D29" i="3"/>
  <c r="C29" i="3"/>
  <c r="B29" i="3"/>
  <c r="E28" i="3"/>
  <c r="D28" i="3"/>
  <c r="C28" i="3"/>
  <c r="B28" i="3"/>
  <c r="E27" i="3"/>
  <c r="D27" i="3"/>
  <c r="C27" i="3"/>
  <c r="B27" i="3"/>
  <c r="E26" i="3"/>
  <c r="D26" i="3"/>
  <c r="C26" i="3"/>
  <c r="B26" i="3"/>
  <c r="E25" i="3"/>
  <c r="D25" i="3"/>
  <c r="C25" i="3"/>
  <c r="B25" i="3"/>
  <c r="E24" i="3"/>
  <c r="D24" i="3"/>
  <c r="C24" i="3"/>
  <c r="B24" i="3"/>
  <c r="E23" i="3"/>
  <c r="D23" i="3"/>
  <c r="C23" i="3"/>
  <c r="B23" i="3"/>
  <c r="E22" i="3"/>
  <c r="D22" i="3"/>
  <c r="C22" i="3"/>
  <c r="B22" i="3"/>
  <c r="E21" i="3"/>
  <c r="D21" i="3"/>
  <c r="C21" i="3"/>
  <c r="B21" i="3"/>
  <c r="E20" i="3"/>
  <c r="D20" i="3"/>
  <c r="C20" i="3"/>
  <c r="B20" i="3"/>
  <c r="E19" i="3"/>
  <c r="D19" i="3"/>
  <c r="C19" i="3"/>
  <c r="B19" i="3"/>
  <c r="E18" i="3"/>
  <c r="D18" i="3"/>
  <c r="C18" i="3"/>
  <c r="B18" i="3"/>
  <c r="E17" i="3"/>
  <c r="D17" i="3"/>
  <c r="C17" i="3"/>
  <c r="B17" i="3"/>
  <c r="E16" i="3"/>
  <c r="D16" i="3"/>
  <c r="C16" i="3"/>
  <c r="B16" i="3"/>
  <c r="E15" i="3"/>
  <c r="D15" i="3"/>
  <c r="C15" i="3"/>
  <c r="B15" i="3"/>
  <c r="E14" i="3"/>
  <c r="D14" i="3"/>
  <c r="C14" i="3"/>
  <c r="B14" i="3"/>
  <c r="E13" i="3"/>
  <c r="D13" i="3"/>
  <c r="C13" i="3"/>
  <c r="B13" i="3"/>
  <c r="E12" i="3"/>
  <c r="D12" i="3"/>
  <c r="C12" i="3"/>
  <c r="B12" i="3"/>
  <c r="E11" i="3"/>
  <c r="D11" i="3"/>
  <c r="C11" i="3"/>
  <c r="B11" i="3"/>
  <c r="E10" i="3"/>
  <c r="D10" i="3"/>
  <c r="C10" i="3"/>
  <c r="B10" i="3"/>
  <c r="E9" i="3"/>
  <c r="D9" i="3"/>
  <c r="C9" i="3"/>
  <c r="B9" i="3"/>
  <c r="E8" i="3"/>
  <c r="D8" i="3"/>
  <c r="C8" i="3"/>
  <c r="B8" i="3"/>
  <c r="E7" i="3"/>
  <c r="D7" i="3"/>
  <c r="C7" i="3"/>
  <c r="B7" i="3"/>
  <c r="E6" i="3"/>
  <c r="D6" i="3"/>
  <c r="C6" i="3"/>
  <c r="B6" i="3"/>
  <c r="E5" i="3"/>
  <c r="D5" i="3"/>
  <c r="C5" i="3"/>
  <c r="B5" i="3"/>
  <c r="E4" i="3"/>
  <c r="D4" i="3"/>
  <c r="C4" i="3"/>
  <c r="B4" i="3"/>
  <c r="E3" i="3"/>
  <c r="D3" i="3"/>
  <c r="C3" i="3"/>
  <c r="B3" i="3"/>
  <c r="C3" i="10"/>
  <c r="H23" i="3"/>
  <c r="B10" i="10" s="1"/>
  <c r="B2" i="3"/>
  <c r="C2" i="3"/>
  <c r="E2" i="3"/>
  <c r="D2" i="3"/>
  <c r="H24" i="3"/>
  <c r="B11" i="10"/>
  <c r="H25" i="3"/>
  <c r="B12" i="10"/>
  <c r="H26" i="3"/>
  <c r="B13" i="10"/>
  <c r="A3" i="7"/>
  <c r="A4" i="7"/>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B208" i="6"/>
  <c r="B219" i="6" s="1"/>
  <c r="B229" i="6" s="1"/>
  <c r="C209" i="6"/>
  <c r="E209" i="6" s="1"/>
  <c r="D209" i="6"/>
  <c r="H209" i="6" s="1"/>
  <c r="D210" i="6"/>
  <c r="H210" i="6" s="1"/>
  <c r="E210" i="6"/>
  <c r="G210" i="6" s="1"/>
  <c r="B211" i="6"/>
  <c r="B221" i="6" s="1"/>
  <c r="B231" i="6" s="1"/>
  <c r="C211" i="6"/>
  <c r="E211" i="6" s="1"/>
  <c r="D211" i="6"/>
  <c r="J211" i="6" s="1"/>
  <c r="D212" i="6"/>
  <c r="H212" i="6" s="1"/>
  <c r="E212" i="6"/>
  <c r="G211" i="6" s="1"/>
  <c r="B213" i="6"/>
  <c r="B223" i="6" s="1"/>
  <c r="B233" i="6" s="1"/>
  <c r="C213" i="6"/>
  <c r="C214" i="6" s="1"/>
  <c r="D213" i="6"/>
  <c r="J213" i="6" s="1"/>
  <c r="D214" i="6"/>
  <c r="F214" i="6" s="1"/>
  <c r="E214" i="6"/>
  <c r="G213" i="6" s="1"/>
  <c r="B215" i="6"/>
  <c r="B225" i="6"/>
  <c r="B235" i="6" s="1"/>
  <c r="C215" i="6"/>
  <c r="C216" i="6" s="1"/>
  <c r="D215" i="6"/>
  <c r="H215" i="6" s="1"/>
  <c r="D216" i="6"/>
  <c r="F216" i="6" s="1"/>
  <c r="F215" i="6"/>
  <c r="E216" i="6"/>
  <c r="G216" i="6"/>
  <c r="D219" i="6"/>
  <c r="J219" i="6" s="1"/>
  <c r="D220" i="6"/>
  <c r="H220" i="6" s="1"/>
  <c r="E220" i="6"/>
  <c r="G220" i="6" s="1"/>
  <c r="C221" i="6"/>
  <c r="C222" i="6"/>
  <c r="D221" i="6"/>
  <c r="J222" i="6"/>
  <c r="D222" i="6"/>
  <c r="H222" i="6"/>
  <c r="E222" i="6"/>
  <c r="G222" i="6"/>
  <c r="C223" i="6"/>
  <c r="C224" i="6" s="1"/>
  <c r="D223" i="6"/>
  <c r="J223" i="6" s="1"/>
  <c r="D224" i="6"/>
  <c r="F223" i="6" s="1"/>
  <c r="E224" i="6"/>
  <c r="G223" i="6" s="1"/>
  <c r="C225" i="6"/>
  <c r="I225" i="6"/>
  <c r="D225" i="6"/>
  <c r="H225" i="6"/>
  <c r="D226" i="6"/>
  <c r="F226" i="6"/>
  <c r="E226" i="6"/>
  <c r="I226" i="6"/>
  <c r="J225" i="6"/>
  <c r="J226" i="6"/>
  <c r="B227" i="6"/>
  <c r="B237" i="6"/>
  <c r="C229" i="6"/>
  <c r="I229" i="6" s="1"/>
  <c r="D229" i="6"/>
  <c r="J229" i="6" s="1"/>
  <c r="D230" i="6"/>
  <c r="F229" i="6" s="1"/>
  <c r="E230" i="6"/>
  <c r="G229" i="6" s="1"/>
  <c r="C230" i="6"/>
  <c r="C231" i="6"/>
  <c r="I231" i="6" s="1"/>
  <c r="D231" i="6"/>
  <c r="J232" i="6" s="1"/>
  <c r="D232" i="6"/>
  <c r="F231" i="6" s="1"/>
  <c r="E232" i="6"/>
  <c r="I232" i="6" s="1"/>
  <c r="C233" i="6"/>
  <c r="E233" i="6" s="1"/>
  <c r="D233" i="6"/>
  <c r="J233" i="6" s="1"/>
  <c r="D234" i="6"/>
  <c r="H234" i="6" s="1"/>
  <c r="E234" i="6"/>
  <c r="I234" i="6" s="1"/>
  <c r="C235" i="6"/>
  <c r="E235" i="6" s="1"/>
  <c r="D235" i="6"/>
  <c r="H235" i="6" s="1"/>
  <c r="D236" i="6"/>
  <c r="F235" i="6" s="1"/>
  <c r="E236" i="6"/>
  <c r="G236" i="6" s="1"/>
  <c r="G106" i="6"/>
  <c r="F106" i="6"/>
  <c r="G107" i="6"/>
  <c r="F107" i="6"/>
  <c r="G108" i="6"/>
  <c r="F108" i="6"/>
  <c r="G109" i="6"/>
  <c r="F109" i="6"/>
  <c r="G110" i="6"/>
  <c r="F110" i="6"/>
  <c r="G111" i="6"/>
  <c r="F111" i="6"/>
  <c r="G112" i="6"/>
  <c r="F112" i="6"/>
  <c r="G113" i="6"/>
  <c r="F113" i="6"/>
  <c r="G114" i="6"/>
  <c r="F114" i="6"/>
  <c r="G115" i="6"/>
  <c r="F115" i="6"/>
  <c r="G116" i="6"/>
  <c r="F116" i="6"/>
  <c r="G117" i="6"/>
  <c r="F117" i="6"/>
  <c r="G118" i="6"/>
  <c r="F118" i="6"/>
  <c r="G119" i="6"/>
  <c r="F119" i="6"/>
  <c r="G120" i="6"/>
  <c r="F120" i="6"/>
  <c r="G121" i="6"/>
  <c r="F121" i="6"/>
  <c r="G122" i="6"/>
  <c r="F122" i="6"/>
  <c r="G123" i="6"/>
  <c r="F123" i="6"/>
  <c r="G124" i="6"/>
  <c r="F124" i="6"/>
  <c r="G125" i="6"/>
  <c r="F125" i="6"/>
  <c r="G126" i="6"/>
  <c r="F126" i="6"/>
  <c r="G127" i="6"/>
  <c r="F127" i="6"/>
  <c r="G128" i="6"/>
  <c r="F128" i="6"/>
  <c r="G129" i="6"/>
  <c r="F129" i="6"/>
  <c r="G130" i="6"/>
  <c r="F130" i="6"/>
  <c r="G131" i="6"/>
  <c r="F131" i="6"/>
  <c r="G132" i="6"/>
  <c r="F132" i="6"/>
  <c r="G133" i="6"/>
  <c r="H133" i="6" s="1"/>
  <c r="F133" i="6"/>
  <c r="G134" i="6"/>
  <c r="F134" i="6"/>
  <c r="G135" i="6"/>
  <c r="F135" i="6"/>
  <c r="G136" i="6"/>
  <c r="F136" i="6"/>
  <c r="G137" i="6"/>
  <c r="F137" i="6"/>
  <c r="G138" i="6"/>
  <c r="F138" i="6"/>
  <c r="G139" i="6"/>
  <c r="F139" i="6"/>
  <c r="G140" i="6"/>
  <c r="F140" i="6"/>
  <c r="G141" i="6"/>
  <c r="F141" i="6"/>
  <c r="G142" i="6"/>
  <c r="F142" i="6"/>
  <c r="G143" i="6"/>
  <c r="F143" i="6"/>
  <c r="G144" i="6"/>
  <c r="I144" i="6" s="1"/>
  <c r="F144" i="6"/>
  <c r="G145" i="6"/>
  <c r="F145" i="6"/>
  <c r="G146" i="6"/>
  <c r="F146" i="6"/>
  <c r="G147" i="6"/>
  <c r="F147" i="6"/>
  <c r="G148" i="6"/>
  <c r="F148" i="6"/>
  <c r="G149" i="6"/>
  <c r="F149" i="6"/>
  <c r="G150" i="6"/>
  <c r="F150" i="6"/>
  <c r="G151" i="6"/>
  <c r="F151" i="6"/>
  <c r="G152" i="6"/>
  <c r="F152" i="6"/>
  <c r="G153" i="6"/>
  <c r="F153" i="6"/>
  <c r="G154" i="6"/>
  <c r="F154" i="6"/>
  <c r="G105" i="6"/>
  <c r="F105" i="6"/>
  <c r="T1" i="6"/>
  <c r="S1" i="6"/>
  <c r="F155" i="6"/>
  <c r="G155" i="6"/>
  <c r="F156" i="6"/>
  <c r="G156" i="6"/>
  <c r="F157" i="6"/>
  <c r="G157" i="6"/>
  <c r="F158" i="6"/>
  <c r="G158" i="6"/>
  <c r="F159" i="6"/>
  <c r="G159" i="6"/>
  <c r="F160" i="6"/>
  <c r="G160" i="6"/>
  <c r="F161" i="6"/>
  <c r="G161" i="6"/>
  <c r="F162" i="6"/>
  <c r="G162" i="6"/>
  <c r="F163" i="6"/>
  <c r="G163" i="6"/>
  <c r="F164" i="6"/>
  <c r="G164" i="6"/>
  <c r="F165" i="6"/>
  <c r="G165" i="6"/>
  <c r="F166" i="6"/>
  <c r="G166" i="6"/>
  <c r="F167" i="6"/>
  <c r="G167" i="6"/>
  <c r="F168" i="6"/>
  <c r="G168" i="6"/>
  <c r="F169" i="6"/>
  <c r="G169" i="6"/>
  <c r="F170" i="6"/>
  <c r="G170" i="6"/>
  <c r="F171" i="6"/>
  <c r="G171" i="6"/>
  <c r="F172" i="6"/>
  <c r="G172" i="6"/>
  <c r="F173" i="6"/>
  <c r="G173" i="6"/>
  <c r="F174" i="6"/>
  <c r="G174" i="6"/>
  <c r="F175" i="6"/>
  <c r="G175" i="6"/>
  <c r="F176" i="6"/>
  <c r="G176" i="6"/>
  <c r="F177" i="6"/>
  <c r="G177" i="6"/>
  <c r="F178" i="6"/>
  <c r="G178" i="6"/>
  <c r="F179" i="6"/>
  <c r="G179" i="6"/>
  <c r="F180" i="6"/>
  <c r="G180" i="6"/>
  <c r="F181" i="6"/>
  <c r="G181" i="6"/>
  <c r="F182" i="6"/>
  <c r="G182" i="6"/>
  <c r="F183" i="6"/>
  <c r="G183" i="6"/>
  <c r="F184" i="6"/>
  <c r="G184" i="6"/>
  <c r="F185" i="6"/>
  <c r="G185" i="6"/>
  <c r="F186" i="6"/>
  <c r="G186" i="6"/>
  <c r="F187" i="6"/>
  <c r="G187" i="6"/>
  <c r="F188" i="6"/>
  <c r="G188" i="6"/>
  <c r="F189" i="6"/>
  <c r="G189" i="6"/>
  <c r="F190" i="6"/>
  <c r="I190" i="6" s="1"/>
  <c r="G190" i="6"/>
  <c r="F191" i="6"/>
  <c r="G191" i="6"/>
  <c r="F192" i="6"/>
  <c r="I192" i="6" s="1"/>
  <c r="G192" i="6"/>
  <c r="F193" i="6"/>
  <c r="G193" i="6"/>
  <c r="F194" i="6"/>
  <c r="G194" i="6"/>
  <c r="F195" i="6"/>
  <c r="I195" i="6" s="1"/>
  <c r="G195" i="6"/>
  <c r="F196" i="6"/>
  <c r="G196" i="6"/>
  <c r="F197" i="6"/>
  <c r="G197" i="6"/>
  <c r="F198" i="6"/>
  <c r="G198" i="6"/>
  <c r="F199" i="6"/>
  <c r="G199" i="6"/>
  <c r="F200" i="6"/>
  <c r="G200" i="6"/>
  <c r="F201" i="6"/>
  <c r="G201" i="6"/>
  <c r="F202" i="6"/>
  <c r="G202" i="6"/>
  <c r="F203" i="6"/>
  <c r="G203" i="6"/>
  <c r="F204" i="6"/>
  <c r="G204" i="6"/>
  <c r="A12" i="3"/>
  <c r="F12" i="3" s="1"/>
  <c r="A13" i="3"/>
  <c r="F13" i="3" s="1"/>
  <c r="A14" i="3"/>
  <c r="F14" i="3" s="1"/>
  <c r="A15" i="3"/>
  <c r="F15" i="3" s="1"/>
  <c r="A16" i="3"/>
  <c r="F16" i="3" s="1"/>
  <c r="A17" i="3"/>
  <c r="F17" i="3" s="1"/>
  <c r="A18" i="3"/>
  <c r="F18" i="3" s="1"/>
  <c r="A19" i="3"/>
  <c r="F19" i="3" s="1"/>
  <c r="A20" i="3"/>
  <c r="F20" i="3" s="1"/>
  <c r="A21" i="3"/>
  <c r="F21" i="3" s="1"/>
  <c r="A22" i="3"/>
  <c r="F22" i="3" s="1"/>
  <c r="A23" i="3"/>
  <c r="F23" i="3" s="1"/>
  <c r="A24" i="3"/>
  <c r="F24" i="3" s="1"/>
  <c r="A25" i="3"/>
  <c r="F25" i="3" s="1"/>
  <c r="A26" i="3"/>
  <c r="F26" i="3" s="1"/>
  <c r="A27" i="3"/>
  <c r="F27" i="3" s="1"/>
  <c r="A28" i="3"/>
  <c r="F28" i="3" s="1"/>
  <c r="A29" i="3"/>
  <c r="F29" i="3" s="1"/>
  <c r="A30" i="3"/>
  <c r="F30" i="3" s="1"/>
  <c r="A31" i="3"/>
  <c r="F31" i="3" s="1"/>
  <c r="A32" i="3"/>
  <c r="F32" i="3" s="1"/>
  <c r="A33" i="3"/>
  <c r="F33" i="3" s="1"/>
  <c r="A34" i="3"/>
  <c r="F34" i="3" s="1"/>
  <c r="A35" i="3"/>
  <c r="F35" i="3" s="1"/>
  <c r="A36" i="3"/>
  <c r="F36" i="3" s="1"/>
  <c r="A37" i="3"/>
  <c r="F37" i="3" s="1"/>
  <c r="A38" i="3"/>
  <c r="F38" i="3" s="1"/>
  <c r="A39" i="3"/>
  <c r="F39" i="3" s="1"/>
  <c r="A40" i="3"/>
  <c r="F40" i="3" s="1"/>
  <c r="A41" i="3"/>
  <c r="F41" i="3" s="1"/>
  <c r="A42" i="3"/>
  <c r="F42" i="3" s="1"/>
  <c r="A43" i="3"/>
  <c r="F43" i="3" s="1"/>
  <c r="A44" i="3"/>
  <c r="F44" i="3" s="1"/>
  <c r="A45" i="3"/>
  <c r="F45" i="3" s="1"/>
  <c r="A46" i="3"/>
  <c r="F46" i="3" s="1"/>
  <c r="A47" i="3"/>
  <c r="F47" i="3" s="1"/>
  <c r="A48" i="3"/>
  <c r="F48" i="3" s="1"/>
  <c r="A49" i="3"/>
  <c r="F49" i="3" s="1"/>
  <c r="A50" i="3"/>
  <c r="F50" i="3" s="1"/>
  <c r="A51" i="3"/>
  <c r="F51" i="3" s="1"/>
  <c r="A52" i="3"/>
  <c r="F52" i="3" s="1"/>
  <c r="A53" i="3"/>
  <c r="F53" i="3" s="1"/>
  <c r="A54" i="3"/>
  <c r="F54" i="3" s="1"/>
  <c r="A55" i="3"/>
  <c r="F55" i="3" s="1"/>
  <c r="A56" i="3"/>
  <c r="F56" i="3" s="1"/>
  <c r="A57" i="3"/>
  <c r="F57" i="3" s="1"/>
  <c r="A58" i="3"/>
  <c r="F58" i="3" s="1"/>
  <c r="A59" i="3"/>
  <c r="F59" i="3" s="1"/>
  <c r="A60" i="3"/>
  <c r="F60" i="3" s="1"/>
  <c r="A61" i="3"/>
  <c r="F61" i="3" s="1"/>
  <c r="A62" i="3"/>
  <c r="F62" i="3" s="1"/>
  <c r="A63" i="3"/>
  <c r="F63" i="3" s="1"/>
  <c r="A64" i="3"/>
  <c r="F64" i="3" s="1"/>
  <c r="A65" i="3"/>
  <c r="F65" i="3" s="1"/>
  <c r="A66" i="3"/>
  <c r="F66" i="3" s="1"/>
  <c r="A67" i="3"/>
  <c r="F67" i="3" s="1"/>
  <c r="A68" i="3"/>
  <c r="F68" i="3" s="1"/>
  <c r="A69" i="3"/>
  <c r="F69" i="3" s="1"/>
  <c r="A70" i="3"/>
  <c r="F70" i="3" s="1"/>
  <c r="A71" i="3"/>
  <c r="F71" i="3" s="1"/>
  <c r="A72" i="3"/>
  <c r="F72" i="3" s="1"/>
  <c r="A73" i="3"/>
  <c r="F73" i="3" s="1"/>
  <c r="A74" i="3"/>
  <c r="F74" i="3" s="1"/>
  <c r="A75" i="3"/>
  <c r="F75" i="3" s="1"/>
  <c r="A76" i="3"/>
  <c r="F76" i="3" s="1"/>
  <c r="A77" i="3"/>
  <c r="F77" i="3" s="1"/>
  <c r="A78" i="3"/>
  <c r="F78" i="3" s="1"/>
  <c r="A79" i="3"/>
  <c r="F79" i="3" s="1"/>
  <c r="A80" i="3"/>
  <c r="F80" i="3" s="1"/>
  <c r="A81" i="3"/>
  <c r="F81" i="3" s="1"/>
  <c r="A82" i="3"/>
  <c r="F82" i="3" s="1"/>
  <c r="A83" i="3"/>
  <c r="F83" i="3" s="1"/>
  <c r="A84" i="3"/>
  <c r="F84" i="3" s="1"/>
  <c r="A85" i="3"/>
  <c r="F85" i="3" s="1"/>
  <c r="A86" i="3"/>
  <c r="F86" i="3" s="1"/>
  <c r="A87" i="3"/>
  <c r="F87" i="3" s="1"/>
  <c r="A88" i="3"/>
  <c r="F88" i="3" s="1"/>
  <c r="A89" i="3"/>
  <c r="F89" i="3" s="1"/>
  <c r="A90" i="3"/>
  <c r="F90" i="3" s="1"/>
  <c r="A91" i="3"/>
  <c r="F91" i="3" s="1"/>
  <c r="A92" i="3"/>
  <c r="F92" i="3" s="1"/>
  <c r="A93" i="3"/>
  <c r="F93" i="3" s="1"/>
  <c r="A94" i="3"/>
  <c r="F94" i="3" s="1"/>
  <c r="A95" i="3"/>
  <c r="F95" i="3" s="1"/>
  <c r="A96" i="3"/>
  <c r="F96" i="3" s="1"/>
  <c r="A97" i="3"/>
  <c r="F97" i="3" s="1"/>
  <c r="A98" i="3"/>
  <c r="F98" i="3" s="1"/>
  <c r="A99" i="3"/>
  <c r="F99" i="3" s="1"/>
  <c r="A100" i="3"/>
  <c r="F100" i="3" s="1"/>
  <c r="A101" i="3"/>
  <c r="F101" i="3" s="1"/>
  <c r="A102" i="3"/>
  <c r="F102" i="3" s="1"/>
  <c r="A4" i="3"/>
  <c r="F4" i="3" s="1"/>
  <c r="A5" i="3"/>
  <c r="F5" i="3" s="1"/>
  <c r="A6" i="3"/>
  <c r="F6" i="3" s="1"/>
  <c r="A7" i="3"/>
  <c r="F7" i="3" s="1"/>
  <c r="A8" i="3"/>
  <c r="F8" i="3" s="1"/>
  <c r="A9" i="3"/>
  <c r="F9" i="3" s="1"/>
  <c r="A10" i="3"/>
  <c r="F10" i="3" s="1"/>
  <c r="A11" i="3"/>
  <c r="F11" i="3" s="1"/>
  <c r="A3" i="3"/>
  <c r="F3" i="3" s="1"/>
  <c r="A105" i="6"/>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H221" i="6"/>
  <c r="G225" i="6"/>
  <c r="G226" i="6"/>
  <c r="C140" i="6"/>
  <c r="G232" i="6"/>
  <c r="C137" i="6"/>
  <c r="J216" i="6"/>
  <c r="G209" i="6"/>
  <c r="E221" i="6"/>
  <c r="I221" i="6"/>
  <c r="G221" i="6"/>
  <c r="I222" i="6"/>
  <c r="C138" i="6"/>
  <c r="C141" i="6"/>
  <c r="I216" i="6"/>
  <c r="G215" i="6"/>
  <c r="C142" i="6"/>
  <c r="C212" i="6"/>
  <c r="C143" i="6"/>
  <c r="C139" i="6"/>
  <c r="C135" i="6"/>
  <c r="C136" i="6"/>
  <c r="C234" i="6"/>
  <c r="E225" i="6"/>
  <c r="J221" i="6"/>
  <c r="G233" i="6"/>
  <c r="H226" i="6"/>
  <c r="I236" i="6"/>
  <c r="G235" i="6"/>
  <c r="F225" i="6"/>
  <c r="F232" i="6"/>
  <c r="H236" i="6"/>
  <c r="F236" i="6"/>
  <c r="H230" i="6"/>
  <c r="J231" i="6"/>
  <c r="E231" i="6"/>
  <c r="H224" i="6"/>
  <c r="J235" i="6"/>
  <c r="F224" i="6"/>
  <c r="J236" i="6"/>
  <c r="F213" i="6"/>
  <c r="H231" i="6"/>
  <c r="G231" i="6"/>
  <c r="F221" i="6"/>
  <c r="F222" i="6"/>
  <c r="I235" i="6"/>
  <c r="C236" i="6"/>
  <c r="C226" i="6"/>
  <c r="E215" i="6"/>
  <c r="F103" i="3"/>
  <c r="B108" i="8"/>
  <c r="C227" i="6" s="1"/>
  <c r="B109" i="8"/>
  <c r="E218" i="6" s="1"/>
  <c r="J210" i="6"/>
  <c r="J4" i="7"/>
  <c r="G4" i="7" s="1"/>
  <c r="J5" i="7"/>
  <c r="F211" i="6"/>
  <c r="F212" i="6"/>
  <c r="H211" i="6"/>
  <c r="C8" i="10"/>
  <c r="D103" i="3"/>
  <c r="C130" i="6"/>
  <c r="I165" i="6"/>
  <c r="C103" i="3"/>
  <c r="E103" i="3"/>
  <c r="D109" i="8"/>
  <c r="E238" i="6" s="1"/>
  <c r="D108" i="8"/>
  <c r="C237" i="6" s="1"/>
  <c r="B103" i="3"/>
  <c r="C132" i="6"/>
  <c r="C122" i="6"/>
  <c r="C1" i="7"/>
  <c r="C23" i="7"/>
  <c r="D227" i="6"/>
  <c r="H227" i="6" s="1"/>
  <c r="C133" i="6"/>
  <c r="H126" i="6"/>
  <c r="I114" i="6"/>
  <c r="H148" i="6"/>
  <c r="H128" i="6"/>
  <c r="C126" i="6"/>
  <c r="H193" i="6" l="1"/>
  <c r="H190" i="6"/>
  <c r="H189" i="6"/>
  <c r="I183" i="6"/>
  <c r="I176" i="6"/>
  <c r="I173" i="6"/>
  <c r="I162" i="6"/>
  <c r="H143" i="6"/>
  <c r="H142" i="6"/>
  <c r="I127" i="6"/>
  <c r="I123" i="6"/>
  <c r="C123" i="6" s="1"/>
  <c r="I121" i="6"/>
  <c r="H115" i="6"/>
  <c r="H114" i="6"/>
  <c r="C114" i="6" s="1"/>
  <c r="I108" i="6"/>
  <c r="C24" i="7"/>
  <c r="E8" i="7"/>
  <c r="I202" i="6"/>
  <c r="I196" i="6"/>
  <c r="H194" i="6"/>
  <c r="I189" i="6"/>
  <c r="I186" i="6"/>
  <c r="H178" i="6"/>
  <c r="I175" i="6"/>
  <c r="H171" i="6"/>
  <c r="I163" i="6"/>
  <c r="H162" i="6"/>
  <c r="I160" i="6"/>
  <c r="I159" i="6"/>
  <c r="I158" i="6"/>
  <c r="I152" i="6"/>
  <c r="I151" i="6"/>
  <c r="I141" i="6"/>
  <c r="I131" i="6"/>
  <c r="H121" i="6"/>
  <c r="H119" i="6"/>
  <c r="I118" i="6"/>
  <c r="H108" i="6"/>
  <c r="C108" i="6" s="1"/>
  <c r="E102" i="8"/>
  <c r="E33" i="7"/>
  <c r="E22" i="7"/>
  <c r="C10" i="7"/>
  <c r="C15" i="7"/>
  <c r="H204" i="6"/>
  <c r="H203" i="6"/>
  <c r="H202" i="6"/>
  <c r="I201" i="6"/>
  <c r="I200" i="6"/>
  <c r="I199" i="6"/>
  <c r="H198" i="6"/>
  <c r="H195" i="6"/>
  <c r="I194" i="6"/>
  <c r="I193" i="6"/>
  <c r="I187" i="6"/>
  <c r="H186" i="6"/>
  <c r="H185" i="6"/>
  <c r="I184" i="6"/>
  <c r="H183" i="6"/>
  <c r="I182" i="6"/>
  <c r="H181" i="6"/>
  <c r="H180" i="6"/>
  <c r="I179" i="6"/>
  <c r="I178" i="6"/>
  <c r="H177" i="6"/>
  <c r="H176" i="6"/>
  <c r="H175" i="6"/>
  <c r="H173" i="6"/>
  <c r="I171" i="6"/>
  <c r="I170" i="6"/>
  <c r="I168" i="6"/>
  <c r="H167" i="6"/>
  <c r="H165" i="6"/>
  <c r="H163" i="6"/>
  <c r="H160" i="6"/>
  <c r="H158" i="6"/>
  <c r="I157" i="6"/>
  <c r="I156" i="6"/>
  <c r="I155" i="6"/>
  <c r="H154" i="6"/>
  <c r="I153" i="6"/>
  <c r="H152" i="6"/>
  <c r="H151" i="6"/>
  <c r="H145" i="6"/>
  <c r="C217" i="6"/>
  <c r="C218" i="6" s="1"/>
  <c r="E13" i="7"/>
  <c r="C12" i="7"/>
  <c r="E14" i="7"/>
  <c r="C5" i="7"/>
  <c r="E4" i="7"/>
  <c r="E18" i="7"/>
  <c r="E11" i="7"/>
  <c r="C17" i="7"/>
  <c r="C109" i="8"/>
  <c r="D238" i="6" s="1"/>
  <c r="F238" i="6" s="1"/>
  <c r="I150" i="6"/>
  <c r="I149" i="6"/>
  <c r="I146" i="6"/>
  <c r="I145" i="6"/>
  <c r="H144" i="6"/>
  <c r="I143" i="6"/>
  <c r="I142" i="6"/>
  <c r="H140" i="6"/>
  <c r="I139" i="6"/>
  <c r="I138" i="6"/>
  <c r="H137" i="6"/>
  <c r="I135" i="6"/>
  <c r="I134" i="6"/>
  <c r="I133" i="6"/>
  <c r="H129" i="6"/>
  <c r="I128" i="6"/>
  <c r="H127" i="6"/>
  <c r="C127" i="6" s="1"/>
  <c r="I126" i="6"/>
  <c r="H124" i="6"/>
  <c r="H123" i="6"/>
  <c r="H120" i="6"/>
  <c r="I119" i="6"/>
  <c r="C119" i="6" s="1"/>
  <c r="H118" i="6"/>
  <c r="C118" i="6" s="1"/>
  <c r="H116" i="6"/>
  <c r="Q27" i="10"/>
  <c r="Q32" i="10"/>
  <c r="Q33" i="10"/>
  <c r="Q68" i="10"/>
  <c r="Q71" i="10"/>
  <c r="Q72" i="10"/>
  <c r="Q74" i="10"/>
  <c r="Q75" i="10"/>
  <c r="Q76" i="10"/>
  <c r="Q77" i="10"/>
  <c r="Q79" i="10"/>
  <c r="Q80" i="10"/>
  <c r="H201" i="6"/>
  <c r="E103" i="8"/>
  <c r="E104" i="8" s="1"/>
  <c r="E217" i="6"/>
  <c r="I115" i="6"/>
  <c r="I113" i="6"/>
  <c r="I112" i="6"/>
  <c r="I110" i="6"/>
  <c r="I107" i="6"/>
  <c r="G214" i="6"/>
  <c r="H233" i="6"/>
  <c r="J234" i="6"/>
  <c r="H213" i="6"/>
  <c r="G234" i="6"/>
  <c r="G224" i="6"/>
  <c r="I224" i="6"/>
  <c r="F234" i="6"/>
  <c r="J214" i="6"/>
  <c r="H214" i="6"/>
  <c r="F233" i="6"/>
  <c r="J224" i="6"/>
  <c r="I214" i="6"/>
  <c r="I233" i="6"/>
  <c r="E10" i="7"/>
  <c r="C26" i="7"/>
  <c r="C9" i="7"/>
  <c r="E29" i="7"/>
  <c r="E31" i="7"/>
  <c r="E27" i="7"/>
  <c r="C6" i="7"/>
  <c r="C16" i="7"/>
  <c r="C8" i="7"/>
  <c r="E7" i="7"/>
  <c r="E20" i="7"/>
  <c r="C22" i="7"/>
  <c r="E5" i="7"/>
  <c r="C2" i="7"/>
  <c r="E15" i="7"/>
  <c r="H197" i="6"/>
  <c r="I197" i="6"/>
  <c r="I191" i="6"/>
  <c r="H191" i="6"/>
  <c r="H188" i="6"/>
  <c r="I188" i="6"/>
  <c r="I174" i="6"/>
  <c r="H174" i="6"/>
  <c r="I172" i="6"/>
  <c r="H172" i="6"/>
  <c r="H169" i="6"/>
  <c r="I169" i="6"/>
  <c r="I166" i="6"/>
  <c r="H166" i="6"/>
  <c r="H164" i="6"/>
  <c r="I164" i="6"/>
  <c r="H161" i="6"/>
  <c r="I161" i="6"/>
  <c r="I105" i="6"/>
  <c r="H105" i="6"/>
  <c r="I147" i="6"/>
  <c r="H147" i="6"/>
  <c r="H136" i="6"/>
  <c r="I136" i="6"/>
  <c r="H132" i="6"/>
  <c r="I132" i="6"/>
  <c r="H130" i="6"/>
  <c r="I130" i="6"/>
  <c r="H125" i="6"/>
  <c r="I125" i="6"/>
  <c r="C125" i="6" s="1"/>
  <c r="I122" i="6"/>
  <c r="H122" i="6"/>
  <c r="H117" i="6"/>
  <c r="I117" i="6"/>
  <c r="C115" i="6"/>
  <c r="H111" i="6"/>
  <c r="I111" i="6"/>
  <c r="H109" i="6"/>
  <c r="I109" i="6"/>
  <c r="I106" i="6"/>
  <c r="H106" i="6"/>
  <c r="H107" i="6"/>
  <c r="H187" i="6"/>
  <c r="H179" i="6"/>
  <c r="I198" i="6"/>
  <c r="H156" i="6"/>
  <c r="I167" i="6"/>
  <c r="H134" i="6"/>
  <c r="C134" i="6" s="1"/>
  <c r="I140" i="6"/>
  <c r="I124" i="6"/>
  <c r="C124" i="6" s="1"/>
  <c r="I154" i="6"/>
  <c r="H138" i="6"/>
  <c r="H149" i="6"/>
  <c r="I203" i="6"/>
  <c r="H157" i="6"/>
  <c r="H113" i="6"/>
  <c r="C113" i="6" s="1"/>
  <c r="I129" i="6"/>
  <c r="C129" i="6" s="1"/>
  <c r="H168" i="6"/>
  <c r="I137" i="6"/>
  <c r="H150" i="6"/>
  <c r="H199" i="6"/>
  <c r="H182" i="6"/>
  <c r="H146" i="6"/>
  <c r="I185" i="6"/>
  <c r="H155" i="6"/>
  <c r="H170" i="6"/>
  <c r="I177" i="6"/>
  <c r="H153" i="6"/>
  <c r="I181" i="6"/>
  <c r="Q81" i="10"/>
  <c r="Q82" i="10"/>
  <c r="Q83" i="10"/>
  <c r="Q84" i="10"/>
  <c r="Q85" i="10"/>
  <c r="Q86" i="10"/>
  <c r="Q87" i="10"/>
  <c r="Q88" i="10"/>
  <c r="Q89" i="10"/>
  <c r="Q90" i="10"/>
  <c r="Q91" i="10"/>
  <c r="E228" i="6"/>
  <c r="G228" i="6" s="1"/>
  <c r="D228" i="6"/>
  <c r="Q92" i="10"/>
  <c r="Q93" i="10"/>
  <c r="Q94" i="10"/>
  <c r="Q95" i="10"/>
  <c r="Q96" i="10"/>
  <c r="Q97" i="10"/>
  <c r="Q98" i="10"/>
  <c r="Q99" i="10"/>
  <c r="Q100" i="10"/>
  <c r="Q101" i="10"/>
  <c r="Q102" i="10"/>
  <c r="Q103" i="10"/>
  <c r="Q104" i="10"/>
  <c r="Q105" i="10"/>
  <c r="Q106" i="10"/>
  <c r="E105" i="8"/>
  <c r="D237" i="6"/>
  <c r="H237" i="6" s="1"/>
  <c r="D217" i="6"/>
  <c r="K25" i="3"/>
  <c r="E1" i="7"/>
  <c r="E12" i="7"/>
  <c r="C21" i="7"/>
  <c r="C19" i="7"/>
  <c r="C28" i="7"/>
  <c r="C14" i="7"/>
  <c r="E9" i="7"/>
  <c r="E32" i="7"/>
  <c r="C25" i="7"/>
  <c r="E24" i="7"/>
  <c r="S59" i="10" s="1"/>
  <c r="C18" i="7"/>
  <c r="E106" i="8"/>
  <c r="C3" i="7"/>
  <c r="E28" i="7"/>
  <c r="C31" i="7"/>
  <c r="C11" i="7"/>
  <c r="E2" i="7"/>
  <c r="E16" i="7"/>
  <c r="C20" i="7"/>
  <c r="C13" i="7"/>
  <c r="T35" i="10" s="1"/>
  <c r="E25" i="7"/>
  <c r="E3" i="7"/>
  <c r="T58" i="10" s="1"/>
  <c r="E17" i="7"/>
  <c r="E26" i="7"/>
  <c r="C30" i="7"/>
  <c r="E21" i="7"/>
  <c r="E19" i="7"/>
  <c r="C7" i="7"/>
  <c r="C27" i="7"/>
  <c r="C29" i="7"/>
  <c r="E6" i="7"/>
  <c r="E30" i="7"/>
  <c r="H223" i="6"/>
  <c r="Q5" i="10"/>
  <c r="Q73" i="10"/>
  <c r="U35" i="10"/>
  <c r="F228" i="6"/>
  <c r="K23" i="3"/>
  <c r="Q47" i="10"/>
  <c r="Q63" i="10"/>
  <c r="Q66" i="10"/>
  <c r="Q70" i="10"/>
  <c r="Q41" i="10"/>
  <c r="Q67" i="10"/>
  <c r="Q78" i="10"/>
  <c r="I26" i="3"/>
  <c r="J26" i="3" s="1"/>
  <c r="E223" i="6"/>
  <c r="Q7" i="10"/>
  <c r="Q9" i="10"/>
  <c r="Q13" i="10"/>
  <c r="Q15" i="10"/>
  <c r="Q17" i="10"/>
  <c r="Q19" i="10"/>
  <c r="Q25" i="10"/>
  <c r="Q28" i="10"/>
  <c r="Q30" i="10"/>
  <c r="Q35" i="10"/>
  <c r="Q37" i="10"/>
  <c r="Q40" i="10"/>
  <c r="Q43" i="10"/>
  <c r="Q45" i="10"/>
  <c r="Q49" i="10"/>
  <c r="Q52" i="10"/>
  <c r="Q54" i="10"/>
  <c r="Q56" i="10"/>
  <c r="Q59" i="10"/>
  <c r="Q61" i="10"/>
  <c r="Q64" i="10"/>
  <c r="Q69" i="10"/>
  <c r="Q2" i="10"/>
  <c r="Q8" i="10"/>
  <c r="Q10" i="10"/>
  <c r="Q12" i="10"/>
  <c r="Q14" i="10"/>
  <c r="Q16" i="10"/>
  <c r="Q18" i="10"/>
  <c r="Q20" i="10"/>
  <c r="Q26" i="10"/>
  <c r="Q29" i="10"/>
  <c r="Q31" i="10"/>
  <c r="Q34" i="10"/>
  <c r="Q36" i="10"/>
  <c r="Q38" i="10"/>
  <c r="Q42" i="10"/>
  <c r="Q44" i="10"/>
  <c r="Q48" i="10"/>
  <c r="Q50" i="10"/>
  <c r="Q53" i="10"/>
  <c r="Q55" i="10"/>
  <c r="Q57" i="10"/>
  <c r="Q60" i="10"/>
  <c r="Q62" i="10"/>
  <c r="Q65" i="10"/>
  <c r="I223" i="6"/>
  <c r="I213" i="6"/>
  <c r="Q4" i="10"/>
  <c r="Q6" i="10"/>
  <c r="E213" i="6"/>
  <c r="Q58" i="10"/>
  <c r="J209" i="6"/>
  <c r="F220" i="6"/>
  <c r="I210" i="6"/>
  <c r="Q1" i="10"/>
  <c r="H229" i="6"/>
  <c r="I25" i="3"/>
  <c r="J25" i="3" s="1"/>
  <c r="I209" i="6"/>
  <c r="F209" i="6"/>
  <c r="F210" i="6"/>
  <c r="I230" i="6"/>
  <c r="H219" i="6"/>
  <c r="G219" i="6"/>
  <c r="I23" i="3"/>
  <c r="C10" i="10" s="1"/>
  <c r="Q46" i="10"/>
  <c r="J230" i="6"/>
  <c r="F230" i="6"/>
  <c r="G230" i="6"/>
  <c r="J220" i="6"/>
  <c r="F219" i="6"/>
  <c r="I220" i="6"/>
  <c r="E229" i="6"/>
  <c r="C13" i="10"/>
  <c r="C121" i="6"/>
  <c r="J6" i="7"/>
  <c r="G5" i="7"/>
  <c r="F110" i="8"/>
  <c r="C104" i="8"/>
  <c r="E18" i="10" s="1"/>
  <c r="I204" i="6"/>
  <c r="H196" i="6"/>
  <c r="H192" i="6"/>
  <c r="I148" i="6"/>
  <c r="H232" i="6"/>
  <c r="C210" i="6"/>
  <c r="G110" i="8"/>
  <c r="D104" i="8"/>
  <c r="E110" i="8"/>
  <c r="B104" i="8"/>
  <c r="J212" i="6"/>
  <c r="H216" i="6"/>
  <c r="I215" i="6"/>
  <c r="C219" i="6"/>
  <c r="G212" i="6"/>
  <c r="I211" i="6"/>
  <c r="I212" i="6"/>
  <c r="J215" i="6"/>
  <c r="C232" i="6"/>
  <c r="C238" i="6"/>
  <c r="E237" i="6"/>
  <c r="I237" i="6"/>
  <c r="F237" i="6"/>
  <c r="I238" i="6"/>
  <c r="G238" i="6"/>
  <c r="G237" i="6"/>
  <c r="V59" i="10"/>
  <c r="I24" i="3"/>
  <c r="Q3" i="10"/>
  <c r="Q11" i="10"/>
  <c r="V34" i="10"/>
  <c r="J227" i="6"/>
  <c r="H131" i="6"/>
  <c r="C131" i="6" s="1"/>
  <c r="H110" i="6"/>
  <c r="C128" i="6"/>
  <c r="I180" i="6"/>
  <c r="H159" i="6"/>
  <c r="I120" i="6"/>
  <c r="C120" i="6" s="1"/>
  <c r="W35" i="10"/>
  <c r="W28" i="10" s="1"/>
  <c r="J228" i="6"/>
  <c r="U59" i="10"/>
  <c r="C7" i="10"/>
  <c r="H200" i="6"/>
  <c r="H184" i="6"/>
  <c r="H141" i="6"/>
  <c r="H139" i="6"/>
  <c r="H135" i="6"/>
  <c r="H112" i="6"/>
  <c r="C112" i="6" s="1"/>
  <c r="I116" i="6"/>
  <c r="C116" i="6" s="1"/>
  <c r="G217" i="6"/>
  <c r="G218" i="6"/>
  <c r="I218" i="6"/>
  <c r="E227" i="6"/>
  <c r="C228" i="6"/>
  <c r="I227" i="6"/>
  <c r="C110" i="6" l="1"/>
  <c r="K26" i="3"/>
  <c r="R59" i="10"/>
  <c r="R52" i="10" s="1"/>
  <c r="C109" i="6"/>
  <c r="I217" i="6"/>
  <c r="V58" i="10"/>
  <c r="C107" i="6"/>
  <c r="J237" i="6"/>
  <c r="H238" i="6"/>
  <c r="K24" i="3"/>
  <c r="C14" i="10" s="1"/>
  <c r="G241" i="6" s="1"/>
  <c r="G242" i="6" s="1"/>
  <c r="D218" i="6"/>
  <c r="E6" i="10"/>
  <c r="C117" i="6"/>
  <c r="T34" i="10"/>
  <c r="R34" i="10"/>
  <c r="R27" i="10" s="1"/>
  <c r="S34" i="10"/>
  <c r="C105" i="6"/>
  <c r="J238" i="6"/>
  <c r="T59" i="10"/>
  <c r="S52" i="10" s="1"/>
  <c r="W59" i="10"/>
  <c r="W52" i="10" s="1"/>
  <c r="S58" i="10"/>
  <c r="S51" i="10" s="1"/>
  <c r="S35" i="10"/>
  <c r="R35" i="10"/>
  <c r="R28" i="10" s="1"/>
  <c r="C106" i="6"/>
  <c r="C111" i="6"/>
  <c r="I228" i="6"/>
  <c r="G227" i="6"/>
  <c r="H228" i="6"/>
  <c r="F227" i="6"/>
  <c r="S28" i="10"/>
  <c r="U58" i="10"/>
  <c r="W58" i="10"/>
  <c r="W51" i="10" s="1"/>
  <c r="C35" i="7"/>
  <c r="A1" i="14" s="1"/>
  <c r="E35" i="7"/>
  <c r="D250" i="6" s="1"/>
  <c r="F250" i="6" s="1"/>
  <c r="H250" i="6" s="1"/>
  <c r="J250" i="6" s="1"/>
  <c r="D242" i="6"/>
  <c r="F242" i="6" s="1"/>
  <c r="H242" i="6" s="1"/>
  <c r="J242" i="6" s="1"/>
  <c r="V35" i="10"/>
  <c r="U28" i="10" s="1"/>
  <c r="J217" i="6"/>
  <c r="J218" i="6"/>
  <c r="W34" i="10"/>
  <c r="W27" i="10" s="1"/>
  <c r="W29" i="10" s="1"/>
  <c r="R58" i="10"/>
  <c r="R51" i="10" s="1"/>
  <c r="U34" i="10"/>
  <c r="U27" i="10" s="1"/>
  <c r="H217" i="6"/>
  <c r="U52" i="10"/>
  <c r="C12" i="10"/>
  <c r="J23" i="3"/>
  <c r="P7" i="10"/>
  <c r="C4" i="10" s="1"/>
  <c r="D4" i="10" s="1"/>
  <c r="C15" i="10"/>
  <c r="D15" i="10" s="1"/>
  <c r="C11" i="10"/>
  <c r="G6" i="7"/>
  <c r="J7" i="7"/>
  <c r="C17" i="10"/>
  <c r="D17" i="10" s="1"/>
  <c r="E17" i="10"/>
  <c r="E19" i="10"/>
  <c r="C19" i="10"/>
  <c r="D19" i="10" s="1"/>
  <c r="C220" i="6"/>
  <c r="I219" i="6"/>
  <c r="E219" i="6"/>
  <c r="J24" i="3"/>
  <c r="G249" i="6"/>
  <c r="G250" i="6" s="1"/>
  <c r="R53" i="10" l="1"/>
  <c r="W53" i="10"/>
  <c r="R25" i="10"/>
  <c r="C241" i="6" s="1"/>
  <c r="C242" i="6" s="1"/>
  <c r="U51" i="10"/>
  <c r="U53" i="10" s="1"/>
  <c r="R29" i="10"/>
  <c r="C21" i="10" s="1"/>
  <c r="D21" i="10" s="1"/>
  <c r="F217" i="6"/>
  <c r="H218" i="6"/>
  <c r="F218" i="6"/>
  <c r="S27" i="10"/>
  <c r="S29" i="10" s="1"/>
  <c r="A1" i="13"/>
  <c r="S53" i="10"/>
  <c r="U29" i="10"/>
  <c r="E241" i="6"/>
  <c r="E242" i="6" s="1"/>
  <c r="C249" i="6"/>
  <c r="E249" i="6" s="1"/>
  <c r="E250" i="6" s="1"/>
  <c r="I241" i="6"/>
  <c r="I242" i="6" s="1"/>
  <c r="I249" i="6"/>
  <c r="I250" i="6" s="1"/>
  <c r="C23" i="10"/>
  <c r="D23" i="10" s="1"/>
  <c r="J8" i="7"/>
  <c r="G7" i="7"/>
  <c r="C250" i="6" l="1"/>
  <c r="G8" i="7"/>
  <c r="J9" i="7"/>
  <c r="J10" i="7" l="1"/>
  <c r="G9" i="7"/>
  <c r="G10" i="7" l="1"/>
  <c r="J11" i="7"/>
  <c r="J12" i="7" l="1"/>
  <c r="G11" i="7"/>
  <c r="G12" i="7" l="1"/>
  <c r="J13" i="7"/>
  <c r="J14" i="7" l="1"/>
  <c r="G13" i="7"/>
  <c r="G14" i="7" l="1"/>
  <c r="J15" i="7"/>
  <c r="G15" i="7" l="1"/>
  <c r="J16" i="7"/>
  <c r="G16" i="7" l="1"/>
  <c r="J17" i="7"/>
  <c r="S44" i="10"/>
  <c r="R44" i="10"/>
  <c r="C245" i="6"/>
  <c r="C252" i="6"/>
  <c r="E245" i="6" l="1"/>
  <c r="E246" i="6" s="1"/>
  <c r="C246" i="6"/>
  <c r="G17" i="7"/>
  <c r="J18" i="7"/>
  <c r="G18" i="7" l="1"/>
  <c r="J19" i="7"/>
  <c r="G19" i="7" l="1"/>
  <c r="J20" i="7"/>
  <c r="G20" i="7" l="1"/>
  <c r="J21" i="7"/>
  <c r="G21" i="7" l="1"/>
  <c r="J22" i="7"/>
  <c r="G22" i="7" l="1"/>
  <c r="J23" i="7"/>
  <c r="G23" i="7" l="1"/>
  <c r="J24" i="7"/>
  <c r="G24" i="7" l="1"/>
  <c r="J25" i="7"/>
  <c r="W44" i="10"/>
  <c r="U42" i="10"/>
  <c r="U44" i="10"/>
  <c r="R42" i="10"/>
  <c r="S42" i="10"/>
  <c r="G25" i="7" l="1"/>
  <c r="G245" i="6" s="1"/>
  <c r="J26" i="7"/>
  <c r="G246" i="6" l="1"/>
  <c r="I245" i="6"/>
  <c r="I246" i="6" s="1"/>
  <c r="G26" i="7"/>
  <c r="J27" i="7"/>
  <c r="G27" i="7" l="1"/>
  <c r="J28" i="7"/>
  <c r="G28" i="7" l="1"/>
  <c r="J29" i="7"/>
  <c r="G29" i="7" l="1"/>
  <c r="J30" i="7"/>
  <c r="G30" i="7" l="1"/>
  <c r="J31" i="7"/>
  <c r="W42" i="10"/>
  <c r="G31" i="7" l="1"/>
  <c r="H1" i="7" s="1" a="1"/>
  <c r="J35" i="7"/>
  <c r="H15" i="7" l="1"/>
  <c r="H5" i="7"/>
  <c r="H22" i="7"/>
  <c r="H18" i="7"/>
  <c r="H13" i="7"/>
  <c r="H31" i="7"/>
  <c r="H25" i="7"/>
  <c r="H20" i="7"/>
  <c r="H12" i="7"/>
  <c r="H6" i="7"/>
  <c r="H24" i="7"/>
  <c r="H16" i="7"/>
  <c r="H19" i="7"/>
  <c r="H4" i="7"/>
  <c r="H7" i="7"/>
  <c r="H28" i="7"/>
  <c r="H14" i="7"/>
  <c r="H10" i="7"/>
  <c r="H3" i="7"/>
  <c r="H1" i="7"/>
  <c r="H8" i="7"/>
  <c r="H2" i="7"/>
  <c r="H21" i="7"/>
  <c r="H29" i="7"/>
  <c r="H30" i="7"/>
  <c r="H9" i="7"/>
  <c r="H27" i="7"/>
  <c r="H23" i="7"/>
  <c r="H26" i="7"/>
  <c r="H17" i="7"/>
  <c r="H11" i="7"/>
  <c r="U46" i="10" l="1"/>
  <c r="V46" i="10"/>
  <c r="U47" i="10"/>
  <c r="T46" i="10"/>
  <c r="W46" i="10"/>
  <c r="W39" i="10" s="1"/>
  <c r="H35" i="7"/>
  <c r="V47" i="10"/>
  <c r="W47" i="10"/>
  <c r="W40" i="10" s="1"/>
  <c r="R47" i="10"/>
  <c r="R40" i="10" s="1"/>
  <c r="S46" i="10"/>
  <c r="T47" i="10"/>
  <c r="S47" i="10"/>
  <c r="R46" i="10"/>
  <c r="R39" i="10" s="1"/>
  <c r="R41" i="10" l="1"/>
  <c r="C22" i="10" s="1"/>
  <c r="D22" i="10" s="1"/>
  <c r="D24" i="10" s="1"/>
  <c r="C29" i="10" s="1"/>
  <c r="U39" i="10"/>
  <c r="U40" i="10"/>
  <c r="S39" i="10"/>
  <c r="W41" i="10"/>
  <c r="S40" i="10"/>
  <c r="A1" i="12"/>
  <c r="D246" i="6"/>
  <c r="F246" i="6" s="1"/>
  <c r="H246" i="6" s="1"/>
  <c r="J246" i="6" s="1"/>
  <c r="C26" i="10" l="1"/>
  <c r="C28" i="10"/>
  <c r="C27" i="10"/>
  <c r="S41" i="10"/>
  <c r="U41" i="10"/>
  <c r="H28" i="3" l="1"/>
</calcChain>
</file>

<file path=xl/sharedStrings.xml><?xml version="1.0" encoding="utf-8"?>
<sst xmlns="http://schemas.openxmlformats.org/spreadsheetml/2006/main" count="217" uniqueCount="144">
  <si>
    <t>Ci</t>
  </si>
  <si>
    <t>DsA</t>
  </si>
  <si>
    <t>Hi</t>
  </si>
  <si>
    <t>Порода</t>
  </si>
  <si>
    <t>Диапазон Ci</t>
  </si>
  <si>
    <t>Диапазон DsA</t>
  </si>
  <si>
    <t>Диапазон Hi</t>
  </si>
  <si>
    <t>min</t>
  </si>
  <si>
    <t>max</t>
  </si>
  <si>
    <t>Caucasica</t>
  </si>
  <si>
    <t>Ligustica</t>
  </si>
  <si>
    <t>Carnica</t>
  </si>
  <si>
    <t>Предполагаемая порода</t>
  </si>
  <si>
    <t>№ п.п.</t>
  </si>
  <si>
    <t>№ позиции</t>
  </si>
  <si>
    <t>X</t>
  </si>
  <si>
    <t>Y</t>
  </si>
  <si>
    <t>МО</t>
  </si>
  <si>
    <t>СКО</t>
  </si>
  <si>
    <t>K2</t>
  </si>
  <si>
    <t>K3</t>
  </si>
  <si>
    <r>
      <t xml:space="preserve">                                     Алгоритм</t>
    </r>
    <r>
      <rPr>
        <sz val="12"/>
        <rFont val="Arial"/>
        <family val="2"/>
        <charset val="204"/>
      </rPr>
      <t xml:space="preserve">
     Для каждой позиции листа </t>
    </r>
    <r>
      <rPr>
        <b/>
        <sz val="12"/>
        <rFont val="Arial"/>
        <family val="2"/>
        <charset val="204"/>
      </rPr>
      <t>ИД</t>
    </r>
    <r>
      <rPr>
        <sz val="12"/>
        <rFont val="Arial"/>
        <family val="2"/>
        <charset val="204"/>
      </rPr>
      <t xml:space="preserve"> значения Ci, DsA и Hi сравниваются последовательно с эталонными диапазонами показателей для всех пород листа "</t>
    </r>
    <r>
      <rPr>
        <b/>
        <sz val="12"/>
        <rFont val="Arial"/>
        <family val="2"/>
        <charset val="204"/>
      </rPr>
      <t>Породы</t>
    </r>
    <r>
      <rPr>
        <sz val="12"/>
        <rFont val="Arial"/>
        <family val="2"/>
        <charset val="204"/>
      </rPr>
      <t>". Если позиция удовлетворяет диапазонам всех показателей какой-либо породы, в соответствующей колонке графы "Предполагаемая порода" записывается наименование этой породы.
     Т.к. эталонные диапазоны показателей разных пород могут иметь общую область значений, позиция может удовлетворять диапазонам для нескольких пород и, соответственно, будет отнесена к нескольким породам.</t>
    </r>
  </si>
  <si>
    <t>MIN</t>
  </si>
  <si>
    <t>MAX</t>
  </si>
  <si>
    <t>Доверительный интервал (95%)</t>
  </si>
  <si>
    <t>Левая вертикаль</t>
  </si>
  <si>
    <t>Горизонт верх</t>
  </si>
  <si>
    <t>Правая вертикаль</t>
  </si>
  <si>
    <t>Горизонт низ</t>
  </si>
  <si>
    <t>CI-DS</t>
  </si>
  <si>
    <t>Doverit</t>
  </si>
  <si>
    <t>CI-HI</t>
  </si>
  <si>
    <t>HI-DS</t>
  </si>
  <si>
    <t>Количество позиций</t>
  </si>
  <si>
    <t>Анализ результатов исследований</t>
  </si>
  <si>
    <t>Неопределившееся:</t>
  </si>
  <si>
    <t>Показатель</t>
  </si>
  <si>
    <t>Значение</t>
  </si>
  <si>
    <t>Примечание</t>
  </si>
  <si>
    <t xml:space="preserve"> - кубитальный индекс</t>
  </si>
  <si>
    <t xml:space="preserve"> - дискоидальное смещение</t>
  </si>
  <si>
    <t xml:space="preserve"> - гантельный индекс</t>
  </si>
  <si>
    <t xml:space="preserve"> - для дальнейшей селекции</t>
  </si>
  <si>
    <t xml:space="preserve"> - в качестве одной из семей репродуктора маток</t>
  </si>
  <si>
    <t xml:space="preserve"> - для вывода маток себе и друзьям</t>
  </si>
  <si>
    <t xml:space="preserve"> - кубитальному индексу</t>
  </si>
  <si>
    <t xml:space="preserve"> - дискоидальному смещению</t>
  </si>
  <si>
    <t xml:space="preserve"> - гантельному индексу</t>
  </si>
  <si>
    <t xml:space="preserve"> </t>
  </si>
  <si>
    <t>4</t>
  </si>
  <si>
    <t>5</t>
  </si>
  <si>
    <t>6</t>
  </si>
  <si>
    <t>7</t>
  </si>
  <si>
    <t>8</t>
  </si>
  <si>
    <t>Количество исследованных крыльев</t>
  </si>
  <si>
    <t>Количество неиндетифицированных крыльев</t>
  </si>
  <si>
    <t>Распределение идентифицированных крыльев по породам:</t>
  </si>
  <si>
    <t>Превалирующая порода</t>
  </si>
  <si>
    <t>Вероятностная оценка соответствия исследуемой семьи признакам превалирующей породы</t>
  </si>
  <si>
    <t>Целостность исследуемой семьи по:</t>
  </si>
  <si>
    <t>Пригодность*:</t>
  </si>
  <si>
    <t xml:space="preserve"> - в качестве родоначальницы линии**</t>
  </si>
  <si>
    <r>
      <t>*)</t>
    </r>
    <r>
      <rPr>
        <sz val="10"/>
        <rFont val="Arial"/>
        <family val="2"/>
        <charset val="204"/>
      </rPr>
      <t xml:space="preserve"> при пригодности исследуемой семьи на одном из уровней рекомендуется дополнительно выполнить исследования в НИИ Пчеловодства или в Институте биохимии и генетики:
 - </t>
    </r>
    <r>
      <rPr>
        <b/>
        <sz val="10"/>
        <rFont val="Arial"/>
        <family val="2"/>
        <charset val="204"/>
      </rPr>
      <t>НИИ Пчеловодства:</t>
    </r>
    <r>
      <rPr>
        <sz val="10"/>
        <rFont val="Arial"/>
        <family val="2"/>
        <charset val="204"/>
      </rPr>
      <t xml:space="preserve"> 391110 Рязанская обл., г.Рыбное, ул.Почтовая, 22. Институт пчеловодства, отдел селекции пчел, Бородачеву Анатолию Владимировичу 
 - </t>
    </r>
    <r>
      <rPr>
        <b/>
        <sz val="10"/>
        <rFont val="Arial"/>
        <family val="2"/>
        <charset val="204"/>
      </rPr>
      <t>Институт биохимии и генетики:</t>
    </r>
    <r>
      <rPr>
        <sz val="10"/>
        <rFont val="Arial"/>
        <family val="2"/>
        <charset val="204"/>
      </rPr>
      <t xml:space="preserve"> 450054 Уфа, проспект Октября, 71, Институт биохимии и генетики, лаборатория биохимии адаптивности насекомых, Николенко Алексею Геннадьевичу
</t>
    </r>
    <r>
      <rPr>
        <vertAlign val="superscript"/>
        <sz val="10"/>
        <rFont val="Arial"/>
        <family val="2"/>
        <charset val="204"/>
      </rPr>
      <t>**)</t>
    </r>
    <r>
      <rPr>
        <sz val="10"/>
        <rFont val="Arial"/>
        <family val="2"/>
        <charset val="204"/>
      </rPr>
      <t xml:space="preserve"> после проверки передачи породных признаков по наследству</t>
    </r>
  </si>
  <si>
    <t>См. лист "Индексы"</t>
  </si>
  <si>
    <t>См. лист "Результаты"</t>
  </si>
  <si>
    <t>См. строку 102 листа "Индексы"</t>
  </si>
  <si>
    <t>КИ, %</t>
  </si>
  <si>
    <r>
      <t>К</t>
    </r>
    <r>
      <rPr>
        <b/>
        <vertAlign val="subscript"/>
        <sz val="10"/>
        <rFont val="Arial"/>
        <family val="2"/>
        <charset val="204"/>
      </rPr>
      <t>вар</t>
    </r>
  </si>
  <si>
    <t>5. Дополнительно введен коэффициент вариации индексов (строка 104 листа "Индексы)</t>
  </si>
  <si>
    <r>
      <t xml:space="preserve">Отличия от второй версии - </t>
    </r>
    <r>
      <rPr>
        <b/>
        <i/>
        <sz val="12"/>
        <rFont val="Arial"/>
        <family val="2"/>
        <charset val="204"/>
      </rPr>
      <t>Порода по крыльям, в. 2_07.09.13 (Исправлена вер.оценка)</t>
    </r>
  </si>
  <si>
    <r>
      <t xml:space="preserve">3. Изменен допустимый диапазон граничных значений КИ на листе "Породы" - он теперь принят от </t>
    </r>
    <r>
      <rPr>
        <b/>
        <sz val="10"/>
        <rFont val="Arial"/>
        <family val="2"/>
        <charset val="204"/>
      </rPr>
      <t>0,71</t>
    </r>
    <r>
      <rPr>
        <sz val="10"/>
        <rFont val="Arial"/>
        <family val="2"/>
        <charset val="204"/>
      </rPr>
      <t xml:space="preserve"> (нижняя граница 1 класса) до </t>
    </r>
    <r>
      <rPr>
        <b/>
        <sz val="10"/>
        <rFont val="Arial"/>
        <family val="2"/>
        <charset val="204"/>
      </rPr>
      <t>5,67</t>
    </r>
    <r>
      <rPr>
        <sz val="10"/>
        <rFont val="Arial"/>
        <family val="2"/>
        <charset val="204"/>
      </rPr>
      <t xml:space="preserve"> (верхняя граница 26 класса)</t>
    </r>
  </si>
  <si>
    <t>Сосед справа</t>
  </si>
  <si>
    <t>Сосед слева</t>
  </si>
  <si>
    <t xml:space="preserve"> - для корректного определения первого (последнего) классов породных диапазонов КИ рекомендуется диапазоны принимать равными граничным значениям классов КИ</t>
  </si>
  <si>
    <t xml:space="preserve"> - граничные значения классов КИ следующие: 0,71; 0,76; 0,81; 0,87; 0,93; 1,0; 1,07; 1,14; 1,22; 1,31; 1,4; 1,5; 1,61; 1,73; 1,86; 2,0 ;2,16; 2,33; 2,53; 2,75;3,0; 3,29; 3,62; 4,0; 4,45 ;5,0; 5,67</t>
  </si>
  <si>
    <t>1 порода</t>
  </si>
  <si>
    <t>2 порода</t>
  </si>
  <si>
    <t>3 порода</t>
  </si>
  <si>
    <t>4 порода</t>
  </si>
  <si>
    <t>Номер превалирующей породы</t>
  </si>
  <si>
    <t>% крылышек в критических диапазонах второго ранга - допускается 2%</t>
  </si>
  <si>
    <t>% крылышек в критических диапазонах первого ранга - допускается 15%</t>
  </si>
  <si>
    <t>1. Улучшен дизайн программы при обработке данных - убрано "мельтешение" экрана, увеличена скорость обработки данных, убран выбор детализации организации исходного файла (с разделителями/без них, какой разделитель)</t>
  </si>
  <si>
    <t>6. Улучшена оценка целостности семьи на основе использования коэффициента вариации (оценивается только по КИ и HI, по DsA не анализируется, т.к. МО DsA может быть близко к нулю)</t>
  </si>
  <si>
    <t>CI</t>
  </si>
  <si>
    <t>Расчетные морфометрические показатели с учетом ошибки репрезантативности:</t>
  </si>
  <si>
    <t xml:space="preserve"> - критической областью первого ранга считается область, смежная с граничащей породой. Она начинается в первом (последнем) классе породного диапазона и имеет длину 3 класса. В этой области допускается до 15% крылышек</t>
  </si>
  <si>
    <t xml:space="preserve"> - критической областью второго ранга считается область, простирающаяся начиная после трех классов от первого (последнего) класса породного диапазона. В этой области допускается до 2% крылышек</t>
  </si>
  <si>
    <t>2. Реализовано масштабирование размерности шкалы графика № 5 - определяется динамически исходя из увеличенного на 2 ед. максимального значения графика</t>
  </si>
  <si>
    <t>4. Реализована возможность обработки "слитого" ТПС-файла (сформированного путем добавления точек нового скана к ранее созданному)</t>
  </si>
  <si>
    <t>8. Оценка математического ожидания индексов выполнена с учетом ошибки репрезентативности</t>
  </si>
  <si>
    <t>9. Добавлена проверка, чтобы породы были перечислены на листе "Породы" в порядке возрастания величины КИ</t>
  </si>
  <si>
    <t>7. Повышены требования к семье, которую возможно использовать в качестве одной из семей репродуктора маток – п. 6 листа «Анализ" должен быть больше 90%</t>
  </si>
  <si>
    <t xml:space="preserve">Реализация пунктов 9 и 10 позволила пользователям самим заменять и породу, и породные диапазоны. </t>
  </si>
  <si>
    <t>11. На листе "Результаты" для каждого крылышка добавлено значение показателя КИ</t>
  </si>
  <si>
    <t>Ссылка на верхний класс породного диапазона</t>
  </si>
  <si>
    <t>Ссылка на нижний класс породного диапазона</t>
  </si>
  <si>
    <t>График 5. Распределение частоты CI</t>
  </si>
  <si>
    <t>Граница диапазона</t>
  </si>
  <si>
    <t>Граница допустимого интервала</t>
  </si>
  <si>
    <t>Количество крылышек в критических диапазонах второго ранга (для средних пород справа, затем слева)</t>
  </si>
  <si>
    <t>Количество крылышек в критических диапазонах первого ранга (для средних пород справа, затем слева)</t>
  </si>
  <si>
    <t>12. Превалирующая порода теперь определяется по вероятностной оценке, а не по максимальному количеству исследованных крыльев, принадлежащих породе</t>
  </si>
  <si>
    <t>График 5. Распределение частоты DsA</t>
  </si>
  <si>
    <t>График 5. Распределение частоты HI</t>
  </si>
  <si>
    <t>HI</t>
  </si>
  <si>
    <t>Класс</t>
  </si>
  <si>
    <t>Границы класса</t>
  </si>
  <si>
    <t>коли--во</t>
  </si>
  <si>
    <t>Кол-во</t>
  </si>
  <si>
    <t>DsD</t>
  </si>
  <si>
    <t>Кубитальный индекс</t>
  </si>
  <si>
    <t>Дискоидальное смещение</t>
  </si>
  <si>
    <t>Количество крылышек в критических диапазонах (для средних пород справа, затем слева)</t>
  </si>
  <si>
    <t>Гантельный индекс</t>
  </si>
  <si>
    <t>Количество баллов</t>
  </si>
  <si>
    <t>Баллы</t>
  </si>
  <si>
    <t>См. лист "Результаты". 5 баллов начисляется за 100%. За каждые 10% снижения начисляется "-1"</t>
  </si>
  <si>
    <r>
      <t xml:space="preserve">Оценивается по величине коэффициента вариации, см. строку 104 листа "Индексы". 
</t>
    </r>
    <r>
      <rPr>
        <b/>
        <sz val="11"/>
        <color indexed="8"/>
        <rFont val="Arial"/>
        <family val="2"/>
        <charset val="204"/>
      </rPr>
      <t xml:space="preserve">Шкала оценок Квар: 
</t>
    </r>
    <r>
      <rPr>
        <sz val="11"/>
        <color indexed="8"/>
        <rFont val="Arial"/>
        <family val="2"/>
        <charset val="204"/>
      </rPr>
      <t xml:space="preserve">- идеальная (для КИ &lt;12,5%, ГИ &lt;6,5%). Нач. 2 балла;
- нормальная (КИ 12,5-20%, ГИ 6,5-7,5%). Нач. 1 балл;
- не обеспечена (для КИ&gt;20%, ГИ&gt;7,5%) </t>
    </r>
  </si>
  <si>
    <t>Степень гибридизации по:</t>
  </si>
  <si>
    <r>
      <t>Шкала оценок:</t>
    </r>
    <r>
      <rPr>
        <sz val="10"/>
        <color indexed="8"/>
        <rFont val="Arial"/>
        <family val="2"/>
        <charset val="204"/>
      </rPr>
      <t xml:space="preserve"> 
 - отсутствует. Нач. 3 баллов;
- несущественная (менее 50% от допустимой). Нач. 2 балла;
 - в допустимых пределах</t>
    </r>
    <r>
      <rPr>
        <sz val="8"/>
        <color indexed="8"/>
        <rFont val="Arial"/>
        <family val="2"/>
        <charset val="204"/>
      </rPr>
      <t xml:space="preserve"> (менее 15% в критической области первого ранга и менее 2% - в области второго). </t>
    </r>
    <r>
      <rPr>
        <sz val="10"/>
        <color indexed="8"/>
        <rFont val="Arial"/>
        <family val="2"/>
        <charset val="204"/>
      </rPr>
      <t>Нач. 1 балла;
 - гибрид</t>
    </r>
  </si>
  <si>
    <t>10</t>
  </si>
  <si>
    <t>Сумма баллов по п.п. 2, 6, 7, 8</t>
  </si>
  <si>
    <t>Количество баллов не менее 17</t>
  </si>
  <si>
    <t>Количество баллов должно быть не менее 15</t>
  </si>
  <si>
    <t>Количество баллов должно быть не менее 5.</t>
  </si>
  <si>
    <t>Количество баллов должно быть не менее 10.</t>
  </si>
  <si>
    <t>15. Добавлена оценка степени гибридизации по DsA и HI</t>
  </si>
  <si>
    <t>16. Добавлен расчет интегральной ценности семьи, определяемой исходя из балльных оценок по п.п. 2, 6, 7 и 8. Пригодность исследуемой семьи определяется исходя из суммы набранных баллов</t>
  </si>
  <si>
    <t>См. лист "Результаты". За каждые 5% (после округления) начисляется "-1"</t>
  </si>
  <si>
    <t>13. На графике распределения частоты CI добавлены границы породного диапазона (зеленая линия) и границы допустимого интервала (красная линия). Между зеленой линией (включая ее) и красной (исключая ее)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</si>
  <si>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Процент соответствия породам</t>
  </si>
  <si>
    <t>Прогнозная вероятностная оценка для семьи</t>
  </si>
  <si>
    <t>Исследованная проба пчел</t>
  </si>
  <si>
    <t>17. Изменен вид графика № 1, добавлены пояснения к цветовой схеме на листе "Графики"</t>
  </si>
  <si>
    <t>14. Добавлены графики распределения частоты HI и DsA. На них нанесены границы породных диапазонов (зеленые линии) и границы допустимого интервала (красные линии). Между зеленой и красной линиями (исключая их) допускается не больше 15% крыльев. Если больше 15% - гибрид, если от 7,5 до 15 - гибридизация в допустимых пределах, если больше 0 и меньше 7,5 - гибридизация несущественная, если 0 - гибридизация отсутствует. В области начиная с красной линии допускается до 2% крыльев. Если больше 2% - гибрид, если от 1 до 2 - гибридизация в допустимых пределах, если больше 0 и меньше 1 - гибридизация несущественная, если 0 - гибридизация отсутствует.</t>
  </si>
  <si>
    <t>10. Критические классы КИ, наличие крылышек в которых может означать гибридизацию семьи, определяются динамически с учетом принятых породных диапазонов, при этом:</t>
  </si>
  <si>
    <t>В принципе это можно было делать и раньше (все ячейки салатового цвета в программе разрешены к редактированию), однако определение гибридизации не было при этом привязано к породным диапазонам, и в случае их корректировки работало неверно</t>
  </si>
  <si>
    <r>
      <t xml:space="preserve">     На этот лист занесены штатные данные по породным диапазонам, используемым в качестве эталонов при идентификации породной принадлежности пчел. Они при необходимости могут быть изменены в зависимости от целей и задач, решаемых пользователем программы. Наименование пород также допускается менять, но при этом необходимо обеспечивать возрастание CI от первой породы ко второй, от второй к третьей и от третьей к четвертой. 
     Количество пород ограничено 4.
     При корректировке породных диапазонов установлены, в дополнение к отмеченным выше, ограничения, </t>
    </r>
    <r>
      <rPr>
        <b/>
        <sz val="11"/>
        <color indexed="8"/>
        <rFont val="Arial"/>
        <family val="2"/>
        <charset val="204"/>
      </rPr>
      <t>несоблюдение которых приведет к некорректной работе программы</t>
    </r>
    <r>
      <rPr>
        <sz val="11"/>
        <color indexed="8"/>
        <rFont val="Arial"/>
        <family val="2"/>
        <charset val="204"/>
      </rPr>
      <t xml:space="preserve">:
1).  </t>
    </r>
    <r>
      <rPr>
        <b/>
        <sz val="11"/>
        <color indexed="8"/>
        <rFont val="Arial"/>
        <family val="2"/>
        <charset val="204"/>
      </rPr>
      <t>0,76 &lt;= CI &lt;= 5,67</t>
    </r>
    <r>
      <rPr>
        <sz val="11"/>
        <color indexed="8"/>
        <rFont val="Arial"/>
        <family val="2"/>
        <charset val="204"/>
      </rPr>
      <t xml:space="preserve"> при этом они могут принимать только следующие значения: 0,76; 0,81; 0,87; 0,93; 1,00; 1,07; 1,14; 1,22; 1,31; 1,40; 1,50; 1,61; 1,73; 1,86; 2,00; 2,16; 2,33; 2,53; 2,75;3,00; 3,29; 3,62; 4,00; 4,45 ;5,00; 5,67.
2). </t>
    </r>
    <r>
      <rPr>
        <b/>
        <sz val="11"/>
        <color indexed="8"/>
        <rFont val="Arial"/>
        <family val="2"/>
        <charset val="204"/>
      </rPr>
      <t xml:space="preserve"> -15,31 &gt;= DsA &lt;= 12,39</t>
    </r>
    <r>
      <rPr>
        <sz val="11"/>
        <color indexed="8"/>
        <rFont val="Arial"/>
        <family val="2"/>
        <charset val="204"/>
      </rPr>
      <t xml:space="preserve"> при этом они могут принимать только следующие значения: -15,31; -14,33; -13,36; -12,39; -11,42; -10,46; 
-9,50; -8,54; -7,59; -6,63; -5,68; -4,73; -3,78; -2,84; -1,89; -0,95; 0; 0,95; 1,89; 2,84; 3,78; 4,73; 5,68; 6,63; 7,59; 8,54; 9,50; 10,46; 11,42; 12,39.
3). </t>
    </r>
    <r>
      <rPr>
        <b/>
        <sz val="11"/>
        <color indexed="8"/>
        <rFont val="Arial"/>
        <family val="2"/>
        <charset val="204"/>
      </rPr>
      <t xml:space="preserve"> 0,616 &gt;= HI &lt;= 1,420</t>
    </r>
    <r>
      <rPr>
        <sz val="11"/>
        <color indexed="8"/>
        <rFont val="Arial"/>
        <family val="2"/>
        <charset val="204"/>
      </rPr>
      <t xml:space="preserve"> при этом они могут принимать только следующие значения: 0,616; 0,630; 0,648; 0,666; 0,685; 0,704; 0,724; 0,744; 0,765; 0,786; 0,807; 0,829; 0,852; 0,876; 0,899; 0,923; 0,948; 0,974; 1,000; 1,027; 1,053; 1,083; 1,113; 1,143; 1,174; 1,206; 1,239; 1,272; 1,308; 1,344; 1,381; 1,420.
После корректировки диапазонов все данные листов "Результаты", "Графики" и "Анализ" обновляются автоматически.</t>
    </r>
  </si>
  <si>
    <t>18. Обеспечена более полная защита листов и макросов книги.</t>
  </si>
  <si>
    <r>
      <t xml:space="preserve">                                                                 ИНСТРУКЦИЯ</t>
    </r>
    <r>
      <rPr>
        <sz val="11"/>
        <color indexed="8"/>
        <rFont val="Arial"/>
        <family val="2"/>
        <charset val="204"/>
      </rPr>
      <t xml:space="preserve">
     На этот лист автоматически заносятся результаты расчета показателей  CI, DsA и HI на базе файла данных о координатах точек </t>
    </r>
    <r>
      <rPr>
        <b/>
        <sz val="11"/>
        <color indexed="8"/>
        <rFont val="Arial"/>
        <family val="2"/>
        <charset val="204"/>
      </rPr>
      <t>правых передних пчелиных крыльев</t>
    </r>
    <r>
      <rPr>
        <sz val="11"/>
        <color indexed="8"/>
        <rFont val="Arial"/>
        <family val="2"/>
        <charset val="204"/>
      </rPr>
      <t xml:space="preserve"> исследуемой породы, сформированного программой </t>
    </r>
    <r>
      <rPr>
        <b/>
        <sz val="11"/>
        <color indexed="8"/>
        <rFont val="Arial"/>
        <family val="2"/>
        <charset val="204"/>
      </rPr>
      <t>WingsDig</t>
    </r>
    <r>
      <rPr>
        <sz val="11"/>
        <color indexed="8"/>
        <rFont val="Arial"/>
        <family val="2"/>
        <charset val="204"/>
      </rPr>
      <t xml:space="preserve"> или </t>
    </r>
    <r>
      <rPr>
        <b/>
        <sz val="11"/>
        <color indexed="8"/>
        <rFont val="Arial"/>
        <family val="2"/>
        <charset val="204"/>
      </rPr>
      <t>TpsDig</t>
    </r>
    <r>
      <rPr>
        <sz val="11"/>
        <color indexed="8"/>
        <rFont val="Arial"/>
        <family val="2"/>
        <charset val="204"/>
      </rPr>
      <t xml:space="preserve"> (файл типа </t>
    </r>
    <r>
      <rPr>
        <b/>
        <sz val="11"/>
        <color indexed="8"/>
        <rFont val="Arial"/>
        <family val="2"/>
        <charset val="204"/>
      </rPr>
      <t>TPS</t>
    </r>
    <r>
      <rPr>
        <sz val="11"/>
        <color indexed="8"/>
        <rFont val="Arial"/>
        <family val="2"/>
        <charset val="204"/>
      </rPr>
      <t xml:space="preserve">). Значения показателей может быть также занесено Вами и </t>
    </r>
    <r>
      <rPr>
        <b/>
        <sz val="11"/>
        <color indexed="8"/>
        <rFont val="Arial"/>
        <family val="2"/>
        <charset val="204"/>
      </rPr>
      <t>вручную.</t>
    </r>
    <r>
      <rPr>
        <sz val="11"/>
        <color indexed="8"/>
        <rFont val="Arial"/>
        <family val="2"/>
        <charset val="204"/>
      </rPr>
      <t xml:space="preserve"> Количество данных ограничено 100 строками. Строки с сто второй по сто шестую содержат информацию о среднем значении показателя или математическом ожидании (МО, на графиках представлена ромбиками синего цвета) , стандартном или среднеквадратичном отклонении (СКО), коэффициенте вариации (К</t>
    </r>
    <r>
      <rPr>
        <vertAlign val="subscript"/>
        <sz val="11"/>
        <color indexed="8"/>
        <rFont val="Arial"/>
        <family val="2"/>
        <charset val="204"/>
      </rPr>
      <t>вар</t>
    </r>
    <r>
      <rPr>
        <sz val="11"/>
        <color indexed="8"/>
        <rFont val="Arial"/>
        <family val="2"/>
        <charset val="204"/>
      </rPr>
      <t xml:space="preserve">), минимальном и максимальном (MIN и MAX) значениях показателя, следующие строчки содержат информацию о 95% доверительных интервалах средних значений (на графиках представлены красными прямоугольниками). 
     Для корректного расчета МО и СКО ячейки с отсутствующими показателями при их ручном занесении должны содержать значение "ЛОЖЬ" (в таблице не высвечивается).
     Для приема данных из текстового файла необходимо переключить клавиатуру на английский язык и нажать </t>
    </r>
    <r>
      <rPr>
        <b/>
        <sz val="14"/>
        <color indexed="10"/>
        <rFont val="Arial"/>
        <family val="2"/>
        <charset val="204"/>
      </rPr>
      <t>Ctrl+b</t>
    </r>
    <r>
      <rPr>
        <sz val="11"/>
        <color indexed="8"/>
        <rFont val="Arial"/>
        <family val="2"/>
        <charset val="204"/>
      </rPr>
      <t xml:space="preserve"> (файл типа TPS, созданный в программе </t>
    </r>
    <r>
      <rPr>
        <b/>
        <sz val="11"/>
        <color indexed="8"/>
        <rFont val="Arial"/>
        <family val="2"/>
        <charset val="204"/>
      </rPr>
      <t xml:space="preserve">WingsDig) </t>
    </r>
    <r>
      <rPr>
        <sz val="11"/>
        <color indexed="8"/>
        <rFont val="Arial"/>
        <family val="2"/>
        <charset val="204"/>
      </rPr>
      <t>или</t>
    </r>
    <r>
      <rPr>
        <b/>
        <sz val="11"/>
        <color indexed="8"/>
        <rFont val="Arial"/>
        <family val="2"/>
        <charset val="204"/>
      </rPr>
      <t xml:space="preserve"> </t>
    </r>
    <r>
      <rPr>
        <b/>
        <sz val="14"/>
        <color indexed="10"/>
        <rFont val="Arial"/>
        <family val="2"/>
        <charset val="204"/>
      </rPr>
      <t>Ctrl+t</t>
    </r>
    <r>
      <rPr>
        <b/>
        <sz val="11"/>
        <color indexed="8"/>
        <rFont val="Arial"/>
        <family val="2"/>
        <charset val="204"/>
      </rPr>
      <t xml:space="preserve"> (</t>
    </r>
    <r>
      <rPr>
        <sz val="11"/>
        <color indexed="8"/>
        <rFont val="Arial"/>
        <family val="2"/>
        <charset val="204"/>
      </rPr>
      <t xml:space="preserve">файл типа TPS, созданный в программе </t>
    </r>
    <r>
      <rPr>
        <b/>
        <sz val="11"/>
        <color indexed="8"/>
        <rFont val="Arial"/>
        <family val="2"/>
        <charset val="204"/>
      </rPr>
      <t>TpsDig2</t>
    </r>
    <r>
      <rPr>
        <sz val="11"/>
        <color indexed="8"/>
        <rFont val="Arial"/>
        <family val="2"/>
        <charset val="204"/>
      </rPr>
      <t xml:space="preserve">).
</t>
    </r>
    <r>
      <rPr>
        <b/>
        <sz val="14"/>
        <color indexed="12"/>
        <rFont val="Arial"/>
        <family val="2"/>
        <charset val="204"/>
      </rPr>
      <t>Версия 2.5</t>
    </r>
    <r>
      <rPr>
        <b/>
        <sz val="12"/>
        <color indexed="16"/>
        <rFont val="Arial"/>
        <family val="2"/>
        <charset val="204"/>
      </rPr>
      <t xml:space="preserve">   © 2016 Правообладатель Карташев Анатолий</t>
    </r>
    <r>
      <rPr>
        <b/>
        <sz val="11"/>
        <color indexed="16"/>
        <rFont val="Arial"/>
        <family val="2"/>
        <charset val="204"/>
      </rPr>
      <t xml:space="preserve">
                                            E-mail: kart95@mail.ru
              </t>
    </r>
    <r>
      <rPr>
        <b/>
        <sz val="11"/>
        <color indexed="10"/>
        <rFont val="Arial"/>
        <family val="2"/>
        <charset val="204"/>
      </rPr>
      <t xml:space="preserve"> Свидетельство о Госрегистрации в ФИПС № </t>
    </r>
    <r>
      <rPr>
        <b/>
        <sz val="12"/>
        <color indexed="10"/>
        <rFont val="Arial"/>
        <family val="2"/>
        <charset val="204"/>
      </rPr>
      <t>2016663003</t>
    </r>
  </si>
  <si>
    <t>COPY</t>
  </si>
  <si>
    <t>Mellifera</t>
  </si>
  <si>
    <t>TpsDig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</si>
</sst>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
    <numFmt numFmtId="166" formatCode="0.00000"/>
  </numFmts>
  <fonts count="47" x14ac:knownFonts="1">
    <font>
      <sz val="10"/>
      <name val="Arial"/>
    </font>
    <font>
      <b/>
      <sz val="10"/>
      <name val="Arial"/>
      <family val="2"/>
      <charset val="204"/>
    </font>
    <font>
      <sz val="10"/>
      <name val="Arial"/>
      <family val="2"/>
      <charset val="204"/>
    </font>
    <font>
      <sz val="12"/>
      <color indexed="8"/>
      <name val="Arial"/>
      <family val="2"/>
      <charset val="204"/>
    </font>
    <font>
      <b/>
      <sz val="12"/>
      <color indexed="12"/>
      <name val="Arial"/>
      <family val="2"/>
      <charset val="204"/>
    </font>
    <font>
      <b/>
      <sz val="14"/>
      <color indexed="12"/>
      <name val="Arial"/>
      <family val="2"/>
      <charset val="204"/>
    </font>
    <font>
      <sz val="8"/>
      <name val="Arial"/>
      <family val="2"/>
      <charset val="204"/>
    </font>
    <font>
      <sz val="12"/>
      <name val="Arial"/>
      <family val="2"/>
      <charset val="204"/>
    </font>
    <font>
      <i/>
      <sz val="10"/>
      <name val="Arial"/>
      <family val="2"/>
      <charset val="204"/>
    </font>
    <font>
      <b/>
      <sz val="12"/>
      <name val="Arial"/>
      <family val="2"/>
      <charset val="204"/>
    </font>
    <font>
      <b/>
      <sz val="14"/>
      <color indexed="10"/>
      <name val="Arial"/>
      <family val="2"/>
      <charset val="204"/>
    </font>
    <font>
      <b/>
      <sz val="11"/>
      <color indexed="12"/>
      <name val="Arial"/>
      <family val="2"/>
      <charset val="204"/>
    </font>
    <font>
      <sz val="11"/>
      <color indexed="8"/>
      <name val="Arial"/>
      <family val="2"/>
      <charset val="204"/>
    </font>
    <font>
      <b/>
      <sz val="11"/>
      <color indexed="8"/>
      <name val="Arial"/>
      <family val="2"/>
      <charset val="204"/>
    </font>
    <font>
      <b/>
      <sz val="11"/>
      <color indexed="16"/>
      <name val="Arial"/>
      <family val="2"/>
      <charset val="204"/>
    </font>
    <font>
      <b/>
      <sz val="10"/>
      <name val="Tahoma"/>
      <family val="2"/>
      <charset val="204"/>
    </font>
    <font>
      <sz val="9"/>
      <name val="Arial"/>
      <family val="2"/>
      <charset val="204"/>
    </font>
    <font>
      <b/>
      <sz val="9"/>
      <name val="Arial"/>
      <family val="2"/>
      <charset val="204"/>
    </font>
    <font>
      <sz val="10"/>
      <color indexed="8"/>
      <name val="Arial"/>
      <family val="2"/>
      <charset val="204"/>
    </font>
    <font>
      <vertAlign val="superscript"/>
      <sz val="10"/>
      <name val="Arial"/>
      <family val="2"/>
      <charset val="204"/>
    </font>
    <font>
      <sz val="5"/>
      <name val="Arial"/>
      <family val="2"/>
      <charset val="204"/>
    </font>
    <font>
      <i/>
      <sz val="10"/>
      <color indexed="9"/>
      <name val="Arial"/>
      <family val="2"/>
      <charset val="204"/>
    </font>
    <font>
      <sz val="11"/>
      <name val="Arial"/>
      <family val="2"/>
      <charset val="204"/>
    </font>
    <font>
      <b/>
      <sz val="10"/>
      <color indexed="8"/>
      <name val="Arial"/>
      <family val="2"/>
      <charset val="204"/>
    </font>
    <font>
      <b/>
      <sz val="11"/>
      <name val="Arial"/>
      <family val="2"/>
      <charset val="204"/>
    </font>
    <font>
      <b/>
      <vertAlign val="subscript"/>
      <sz val="10"/>
      <name val="Arial"/>
      <family val="2"/>
      <charset val="204"/>
    </font>
    <font>
      <sz val="9"/>
      <name val="Times New Roman"/>
      <family val="1"/>
      <charset val="204"/>
    </font>
    <font>
      <vertAlign val="subscript"/>
      <sz val="11"/>
      <color indexed="8"/>
      <name val="Arial"/>
      <family val="2"/>
      <charset val="204"/>
    </font>
    <font>
      <b/>
      <i/>
      <sz val="12"/>
      <name val="Arial"/>
      <family val="2"/>
      <charset val="204"/>
    </font>
    <font>
      <sz val="8"/>
      <color indexed="8"/>
      <name val="Arial"/>
      <family val="2"/>
      <charset val="204"/>
    </font>
    <font>
      <i/>
      <sz val="11"/>
      <name val="Arial"/>
      <family val="2"/>
      <charset val="204"/>
    </font>
    <font>
      <b/>
      <sz val="12"/>
      <color indexed="10"/>
      <name val="Arial"/>
      <family val="2"/>
      <charset val="204"/>
    </font>
    <font>
      <b/>
      <sz val="11"/>
      <color indexed="10"/>
      <name val="Arial"/>
      <family val="2"/>
      <charset val="204"/>
    </font>
    <font>
      <b/>
      <sz val="12"/>
      <color indexed="16"/>
      <name val="Arial"/>
      <family val="2"/>
      <charset val="204"/>
    </font>
    <font>
      <sz val="10"/>
      <color theme="0" tint="-4.9989318521683403E-2"/>
      <name val="Arial"/>
      <family val="2"/>
      <charset val="204"/>
    </font>
    <font>
      <sz val="10"/>
      <color theme="0"/>
      <name val="Arial"/>
      <family val="2"/>
      <charset val="204"/>
    </font>
    <font>
      <sz val="11"/>
      <color theme="0"/>
      <name val="Arial"/>
      <family val="2"/>
      <charset val="204"/>
    </font>
    <font>
      <i/>
      <sz val="10"/>
      <color theme="0"/>
      <name val="Arial"/>
      <family val="2"/>
      <charset val="204"/>
    </font>
    <font>
      <b/>
      <sz val="12"/>
      <color theme="0"/>
      <name val="Arial"/>
      <family val="2"/>
      <charset val="204"/>
    </font>
    <font>
      <b/>
      <sz val="10"/>
      <color theme="0"/>
      <name val="Arial"/>
      <family val="2"/>
      <charset val="204"/>
    </font>
    <font>
      <sz val="10"/>
      <color rgb="FFFF0000"/>
      <name val="Arial"/>
      <family val="2"/>
      <charset val="204"/>
    </font>
    <font>
      <sz val="11"/>
      <color rgb="FFFF0000"/>
      <name val="Arial"/>
      <family val="2"/>
      <charset val="204"/>
    </font>
    <font>
      <i/>
      <sz val="10"/>
      <color rgb="FFFF0000"/>
      <name val="Arial"/>
      <family val="2"/>
      <charset val="204"/>
    </font>
    <font>
      <b/>
      <sz val="10"/>
      <color rgb="FFFF0000"/>
      <name val="Arial"/>
      <family val="2"/>
      <charset val="204"/>
    </font>
    <font>
      <sz val="10"/>
      <color theme="1"/>
      <name val="Arial"/>
      <family val="2"/>
      <charset val="204"/>
    </font>
    <font>
      <b/>
      <sz val="11"/>
      <color theme="0"/>
      <name val="Arial"/>
      <family val="2"/>
      <charset val="204"/>
    </font>
    <font>
      <sz val="16"/>
      <color theme="0"/>
      <name val="Arial"/>
      <family val="2"/>
      <charset val="204"/>
    </font>
  </fonts>
  <fills count="1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52"/>
        <bgColor indexed="64"/>
      </patternFill>
    </fill>
    <fill>
      <patternFill patternType="solid">
        <fgColor indexed="51"/>
        <bgColor indexed="64"/>
      </patternFill>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
      <patternFill patternType="solid">
        <fgColor rgb="FFCCFFFF"/>
        <bgColor indexed="64"/>
      </patternFill>
    </fill>
    <fill>
      <patternFill patternType="solid">
        <fgColor rgb="FFCCFFCC"/>
        <bgColor rgb="FF000000"/>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
    <xf numFmtId="0" fontId="0" fillId="0" borderId="0"/>
  </cellStyleXfs>
  <cellXfs count="264">
    <xf numFmtId="0" fontId="0" fillId="0" borderId="0" xfId="0"/>
    <xf numFmtId="2" fontId="0" fillId="2" borderId="1" xfId="0" applyNumberFormat="1" applyFill="1" applyBorder="1" applyAlignment="1" applyProtection="1">
      <alignment horizontal="center" vertical="center" wrapText="1"/>
      <protection locked="0"/>
    </xf>
    <xf numFmtId="164" fontId="0" fillId="2" borderId="1" xfId="0" applyNumberFormat="1" applyFill="1" applyBorder="1" applyAlignment="1" applyProtection="1">
      <alignment horizontal="center" vertical="center" wrapText="1"/>
      <protection locked="0"/>
    </xf>
    <xf numFmtId="0" fontId="8" fillId="0" borderId="0" xfId="0" applyFont="1"/>
    <xf numFmtId="164" fontId="0" fillId="2" borderId="1" xfId="0" applyNumberFormat="1" applyFill="1" applyBorder="1" applyAlignment="1" applyProtection="1">
      <alignment horizontal="center" vertical="center"/>
      <protection locked="0"/>
    </xf>
    <xf numFmtId="0" fontId="0" fillId="0" borderId="3" xfId="0" applyBorder="1" applyAlignment="1">
      <alignment horizontal="center" vertical="center"/>
    </xf>
    <xf numFmtId="164" fontId="0" fillId="2" borderId="2" xfId="0" applyNumberFormat="1" applyFill="1" applyBorder="1" applyAlignment="1" applyProtection="1">
      <alignment horizontal="center" vertical="center" wrapText="1"/>
      <protection locked="0"/>
    </xf>
    <xf numFmtId="0" fontId="0" fillId="0" borderId="4" xfId="0" applyBorder="1" applyAlignment="1">
      <alignment horizontal="center" vertical="center"/>
    </xf>
    <xf numFmtId="2" fontId="0" fillId="2" borderId="5" xfId="0" applyNumberFormat="1" applyFill="1" applyBorder="1" applyAlignment="1" applyProtection="1">
      <alignment horizontal="center" vertical="center" wrapText="1"/>
      <protection locked="0"/>
    </xf>
    <xf numFmtId="164" fontId="0" fillId="2" borderId="5" xfId="0" applyNumberFormat="1" applyFill="1" applyBorder="1" applyAlignment="1" applyProtection="1">
      <alignment horizontal="center" vertical="center" wrapText="1"/>
      <protection locked="0"/>
    </xf>
    <xf numFmtId="164" fontId="0" fillId="2" borderId="6" xfId="0" applyNumberFormat="1" applyFill="1" applyBorder="1" applyAlignment="1" applyProtection="1">
      <alignment horizontal="center" vertical="center" wrapText="1"/>
      <protection locked="0"/>
    </xf>
    <xf numFmtId="0" fontId="5" fillId="0" borderId="0" xfId="0" applyFont="1" applyFill="1" applyBorder="1" applyAlignment="1">
      <alignment horizontal="left" vertical="top" wrapText="1"/>
    </xf>
    <xf numFmtId="0" fontId="0" fillId="0" borderId="0" xfId="0" applyFill="1"/>
    <xf numFmtId="0" fontId="15" fillId="0" borderId="0" xfId="0" applyFont="1" applyFill="1" applyAlignment="1">
      <alignment horizontal="center" vertical="center" wrapText="1"/>
    </xf>
    <xf numFmtId="2" fontId="0" fillId="0" borderId="0" xfId="0" applyNumberFormat="1" applyFill="1" applyAlignment="1" applyProtection="1">
      <alignment horizontal="center"/>
    </xf>
    <xf numFmtId="166" fontId="0" fillId="0" borderId="0" xfId="0" applyNumberFormat="1" applyFill="1" applyProtection="1"/>
    <xf numFmtId="0" fontId="0" fillId="0" borderId="0" xfId="0" applyFill="1" applyProtection="1"/>
    <xf numFmtId="0" fontId="16" fillId="0" borderId="0" xfId="0" applyFont="1"/>
    <xf numFmtId="0" fontId="16" fillId="0" borderId="1" xfId="0" applyFont="1" applyBorder="1" applyProtection="1">
      <protection locked="0"/>
    </xf>
    <xf numFmtId="0" fontId="0" fillId="0" borderId="0" xfId="0" applyBorder="1"/>
    <xf numFmtId="0" fontId="0" fillId="0" borderId="0" xfId="0" applyBorder="1" applyAlignment="1">
      <alignment horizontal="center" vertical="center" wrapText="1"/>
    </xf>
    <xf numFmtId="0" fontId="1" fillId="0" borderId="0" xfId="0" applyFont="1" applyBorder="1" applyAlignment="1">
      <alignment horizontal="left" vertical="center"/>
    </xf>
    <xf numFmtId="0" fontId="1" fillId="0" borderId="0" xfId="0" applyFont="1" applyBorder="1" applyAlignment="1">
      <alignment vertical="top" wrapText="1"/>
    </xf>
    <xf numFmtId="0" fontId="1" fillId="0" borderId="0" xfId="0" applyFont="1" applyFill="1" applyBorder="1" applyAlignment="1">
      <alignment horizontal="left" vertical="center"/>
    </xf>
    <xf numFmtId="0" fontId="8" fillId="0" borderId="0" xfId="0" applyFont="1" applyBorder="1"/>
    <xf numFmtId="0" fontId="22" fillId="0" borderId="0" xfId="0" applyFont="1" applyBorder="1"/>
    <xf numFmtId="164" fontId="1" fillId="3" borderId="1" xfId="0" applyNumberFormat="1"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protection hidden="1"/>
    </xf>
    <xf numFmtId="0" fontId="0" fillId="0" borderId="0" xfId="0" applyFill="1" applyBorder="1"/>
    <xf numFmtId="0" fontId="16" fillId="0" borderId="1" xfId="0" applyFont="1" applyBorder="1" applyAlignment="1" applyProtection="1">
      <alignment horizontal="center" vertical="center"/>
      <protection hidden="1"/>
    </xf>
    <xf numFmtId="0" fontId="0" fillId="0" borderId="0" xfId="0" applyProtection="1">
      <protection hidden="1"/>
    </xf>
    <xf numFmtId="0" fontId="0" fillId="0" borderId="1" xfId="0" applyBorder="1" applyAlignment="1" applyProtection="1">
      <alignment horizontal="center" vertical="center" wrapText="1"/>
      <protection hidden="1"/>
    </xf>
    <xf numFmtId="0" fontId="0" fillId="0" borderId="1" xfId="0" applyBorder="1" applyAlignment="1" applyProtection="1">
      <alignment horizontal="center" vertical="center"/>
      <protection hidden="1"/>
    </xf>
    <xf numFmtId="1" fontId="0" fillId="0" borderId="1" xfId="0" applyNumberFormat="1" applyBorder="1" applyAlignment="1" applyProtection="1">
      <alignment horizontal="center" vertical="center" wrapText="1"/>
      <protection hidden="1"/>
    </xf>
    <xf numFmtId="49" fontId="0" fillId="0" borderId="1" xfId="0" applyNumberFormat="1" applyBorder="1" applyAlignment="1" applyProtection="1">
      <alignment horizontal="center" vertical="center" wrapText="1"/>
      <protection hidden="1"/>
    </xf>
    <xf numFmtId="0" fontId="4" fillId="0" borderId="0" xfId="0" applyFont="1" applyFill="1" applyBorder="1" applyAlignment="1" applyProtection="1">
      <alignment vertical="top" wrapText="1"/>
      <protection hidden="1"/>
    </xf>
    <xf numFmtId="0" fontId="1" fillId="3" borderId="3" xfId="0" applyFont="1" applyFill="1" applyBorder="1" applyProtection="1">
      <protection hidden="1"/>
    </xf>
    <xf numFmtId="165" fontId="1" fillId="3" borderId="1" xfId="0" applyNumberFormat="1" applyFont="1" applyFill="1" applyBorder="1" applyAlignment="1" applyProtection="1">
      <alignment horizontal="center" vertical="center"/>
      <protection hidden="1"/>
    </xf>
    <xf numFmtId="0" fontId="1" fillId="4" borderId="3" xfId="0" applyFont="1" applyFill="1" applyBorder="1" applyProtection="1">
      <protection hidden="1"/>
    </xf>
    <xf numFmtId="0" fontId="1" fillId="4" borderId="1" xfId="0" applyFont="1" applyFill="1" applyBorder="1" applyAlignment="1" applyProtection="1">
      <alignment horizontal="center" vertical="center"/>
      <protection hidden="1"/>
    </xf>
    <xf numFmtId="165" fontId="1" fillId="4" borderId="1" xfId="0" applyNumberFormat="1" applyFont="1" applyFill="1" applyBorder="1" applyAlignment="1" applyProtection="1">
      <alignment horizontal="center" vertical="center"/>
      <protection hidden="1"/>
    </xf>
    <xf numFmtId="0" fontId="1" fillId="5" borderId="3" xfId="0" applyFont="1" applyFill="1" applyBorder="1" applyProtection="1">
      <protection hidden="1"/>
    </xf>
    <xf numFmtId="0" fontId="1" fillId="5" borderId="1" xfId="0" applyFont="1" applyFill="1" applyBorder="1" applyAlignment="1" applyProtection="1">
      <alignment horizontal="center" vertical="center"/>
      <protection hidden="1"/>
    </xf>
    <xf numFmtId="165" fontId="1" fillId="5" borderId="1" xfId="0" applyNumberFormat="1" applyFont="1" applyFill="1" applyBorder="1" applyAlignment="1" applyProtection="1">
      <alignment horizontal="center" vertical="center"/>
      <protection hidden="1"/>
    </xf>
    <xf numFmtId="0" fontId="1" fillId="2" borderId="4" xfId="0" applyFont="1" applyFill="1" applyBorder="1" applyProtection="1">
      <protection hidden="1"/>
    </xf>
    <xf numFmtId="0" fontId="1" fillId="2" borderId="5" xfId="0" applyFont="1" applyFill="1" applyBorder="1" applyAlignment="1" applyProtection="1">
      <alignment horizontal="center" vertical="center"/>
      <protection hidden="1"/>
    </xf>
    <xf numFmtId="165" fontId="1" fillId="2" borderId="5" xfId="0" applyNumberFormat="1" applyFont="1" applyFill="1" applyBorder="1" applyAlignment="1" applyProtection="1">
      <alignment horizontal="center" vertical="center"/>
      <protection hidden="1"/>
    </xf>
    <xf numFmtId="0" fontId="3" fillId="0" borderId="0" xfId="0" applyFont="1" applyFill="1" applyBorder="1" applyAlignment="1" applyProtection="1">
      <alignment vertical="top" wrapText="1"/>
      <protection hidden="1"/>
    </xf>
    <xf numFmtId="0" fontId="20" fillId="0" borderId="0" xfId="0" applyFont="1" applyProtection="1">
      <protection hidden="1"/>
    </xf>
    <xf numFmtId="0" fontId="16" fillId="0" borderId="1" xfId="0" applyFont="1" applyBorder="1" applyProtection="1">
      <protection hidden="1"/>
    </xf>
    <xf numFmtId="49" fontId="17" fillId="0" borderId="7" xfId="0" applyNumberFormat="1" applyFont="1" applyFill="1" applyBorder="1" applyAlignment="1" applyProtection="1">
      <alignment horizontal="center" vertical="center" wrapText="1"/>
      <protection hidden="1"/>
    </xf>
    <xf numFmtId="49" fontId="17" fillId="0" borderId="7" xfId="0" applyNumberFormat="1" applyFont="1" applyFill="1" applyBorder="1" applyAlignment="1" applyProtection="1">
      <alignment horizontal="center" vertical="center"/>
      <protection hidden="1"/>
    </xf>
    <xf numFmtId="49" fontId="16" fillId="0" borderId="0" xfId="0" applyNumberFormat="1" applyFont="1" applyFill="1" applyBorder="1" applyAlignment="1" applyProtection="1">
      <alignment horizontal="center" vertical="center"/>
      <protection hidden="1"/>
    </xf>
    <xf numFmtId="0" fontId="16" fillId="0" borderId="0" xfId="0" applyFont="1" applyProtection="1">
      <protection hidden="1"/>
    </xf>
    <xf numFmtId="0" fontId="16" fillId="3" borderId="1" xfId="0" applyNumberFormat="1" applyFont="1" applyFill="1" applyBorder="1" applyAlignment="1" applyProtection="1">
      <alignment horizontal="center" vertical="center"/>
      <protection hidden="1"/>
    </xf>
    <xf numFmtId="164" fontId="16" fillId="3" borderId="1" xfId="0" applyNumberFormat="1" applyFont="1" applyFill="1" applyBorder="1" applyAlignment="1" applyProtection="1">
      <alignment horizontal="center" vertical="center"/>
      <protection hidden="1"/>
    </xf>
    <xf numFmtId="164" fontId="16" fillId="0" borderId="0" xfId="0" applyNumberFormat="1" applyFont="1" applyFill="1" applyBorder="1" applyAlignment="1" applyProtection="1">
      <alignment horizontal="center" vertical="center"/>
      <protection hidden="1"/>
    </xf>
    <xf numFmtId="0" fontId="16" fillId="0" borderId="0" xfId="0" applyFont="1" applyFill="1" applyBorder="1" applyProtection="1">
      <protection hidden="1"/>
    </xf>
    <xf numFmtId="2" fontId="16" fillId="0" borderId="1" xfId="0" applyNumberFormat="1" applyFont="1" applyFill="1" applyBorder="1" applyAlignment="1" applyProtection="1">
      <alignment horizontal="center" vertical="center"/>
      <protection hidden="1"/>
    </xf>
    <xf numFmtId="49" fontId="24" fillId="3" borderId="1" xfId="0" applyNumberFormat="1" applyFont="1" applyFill="1" applyBorder="1" applyAlignment="1" applyProtection="1">
      <alignment horizontal="center" vertical="center" wrapText="1"/>
      <protection hidden="1"/>
    </xf>
    <xf numFmtId="0" fontId="24" fillId="3" borderId="1" xfId="0" applyFont="1" applyFill="1" applyBorder="1" applyAlignment="1" applyProtection="1">
      <alignment horizontal="center" vertical="center" wrapText="1"/>
      <protection hidden="1"/>
    </xf>
    <xf numFmtId="49" fontId="9" fillId="3" borderId="1" xfId="0" applyNumberFormat="1" applyFont="1" applyFill="1" applyBorder="1" applyAlignment="1" applyProtection="1">
      <alignment horizontal="center" vertical="center"/>
      <protection hidden="1"/>
    </xf>
    <xf numFmtId="0" fontId="22" fillId="3" borderId="1" xfId="0" applyFont="1" applyFill="1" applyBorder="1" applyAlignment="1" applyProtection="1">
      <alignment horizontal="left" vertical="center" wrapText="1"/>
      <protection hidden="1"/>
    </xf>
    <xf numFmtId="0" fontId="22" fillId="3" borderId="1" xfId="0" applyFont="1" applyFill="1" applyBorder="1" applyAlignment="1" applyProtection="1">
      <alignment horizontal="center" vertical="center" wrapText="1"/>
      <protection hidden="1"/>
    </xf>
    <xf numFmtId="165" fontId="22"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left" vertical="center" wrapText="1"/>
      <protection hidden="1"/>
    </xf>
    <xf numFmtId="165" fontId="8"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protection hidden="1"/>
    </xf>
    <xf numFmtId="0" fontId="12" fillId="3"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18" fillId="3" borderId="1" xfId="0" applyFont="1" applyFill="1" applyBorder="1" applyAlignment="1" applyProtection="1">
      <alignment horizontal="center" vertical="center" wrapText="1"/>
      <protection hidden="1"/>
    </xf>
    <xf numFmtId="0" fontId="23" fillId="3" borderId="1" xfId="0" applyFont="1" applyFill="1" applyBorder="1" applyAlignment="1" applyProtection="1">
      <alignment horizontal="center" vertical="center" wrapText="1"/>
      <protection hidden="1"/>
    </xf>
    <xf numFmtId="0" fontId="21" fillId="6" borderId="0" xfId="0" applyFont="1" applyFill="1" applyBorder="1"/>
    <xf numFmtId="0" fontId="2" fillId="0" borderId="0" xfId="0" applyFont="1"/>
    <xf numFmtId="0" fontId="34" fillId="0" borderId="0" xfId="0" applyFont="1"/>
    <xf numFmtId="2" fontId="0" fillId="0" borderId="0" xfId="0" applyNumberFormat="1"/>
    <xf numFmtId="4" fontId="26" fillId="0" borderId="0" xfId="0" applyNumberFormat="1" applyFont="1" applyFill="1" applyBorder="1" applyAlignment="1" applyProtection="1">
      <alignment horizontal="center" vertical="center"/>
      <protection hidden="1"/>
    </xf>
    <xf numFmtId="4" fontId="26" fillId="0" borderId="0" xfId="0" applyNumberFormat="1" applyFont="1" applyProtection="1">
      <protection hidden="1"/>
    </xf>
    <xf numFmtId="164" fontId="0" fillId="3" borderId="1" xfId="0" applyNumberFormat="1" applyFill="1" applyBorder="1" applyAlignment="1" applyProtection="1">
      <alignment horizontal="center" vertical="center"/>
      <protection hidden="1"/>
    </xf>
    <xf numFmtId="0" fontId="35" fillId="6" borderId="0" xfId="0" applyFont="1" applyFill="1" applyBorder="1" applyProtection="1">
      <protection hidden="1"/>
    </xf>
    <xf numFmtId="0" fontId="35" fillId="6" borderId="0" xfId="0" applyFont="1" applyFill="1" applyBorder="1" applyAlignment="1" applyProtection="1">
      <alignment horizontal="center"/>
      <protection hidden="1"/>
    </xf>
    <xf numFmtId="0" fontId="35" fillId="6" borderId="0" xfId="0" applyFont="1" applyFill="1" applyProtection="1">
      <protection hidden="1"/>
    </xf>
    <xf numFmtId="0" fontId="35" fillId="0" borderId="0" xfId="0" applyFont="1" applyProtection="1">
      <protection hidden="1"/>
    </xf>
    <xf numFmtId="0" fontId="35" fillId="0" borderId="0" xfId="0" applyFont="1" applyBorder="1" applyProtection="1">
      <protection hidden="1"/>
    </xf>
    <xf numFmtId="0" fontId="36" fillId="0" borderId="0" xfId="0" applyFont="1" applyBorder="1" applyProtection="1">
      <protection hidden="1"/>
    </xf>
    <xf numFmtId="0" fontId="37" fillId="0" borderId="0" xfId="0" applyFont="1" applyBorder="1" applyProtection="1">
      <protection hidden="1"/>
    </xf>
    <xf numFmtId="0" fontId="38" fillId="0" borderId="0" xfId="0" applyFont="1" applyAlignment="1" applyProtection="1">
      <alignment horizontal="center" vertical="center" wrapText="1"/>
      <protection hidden="1"/>
    </xf>
    <xf numFmtId="0" fontId="39" fillId="0" borderId="0" xfId="0" applyFont="1" applyBorder="1" applyAlignment="1" applyProtection="1">
      <alignment vertical="top" wrapText="1"/>
      <protection hidden="1"/>
    </xf>
    <xf numFmtId="0" fontId="2" fillId="7" borderId="0" xfId="0" applyFont="1" applyFill="1"/>
    <xf numFmtId="0" fontId="0" fillId="7" borderId="0" xfId="0" applyFill="1"/>
    <xf numFmtId="0" fontId="35" fillId="0" borderId="0" xfId="0" applyFont="1"/>
    <xf numFmtId="0" fontId="16" fillId="0" borderId="1" xfId="0" applyFont="1" applyFill="1" applyBorder="1"/>
    <xf numFmtId="0" fontId="40" fillId="0" borderId="0" xfId="0" applyFont="1"/>
    <xf numFmtId="0" fontId="35" fillId="0" borderId="0" xfId="0" applyFont="1" applyBorder="1"/>
    <xf numFmtId="0" fontId="36" fillId="0" borderId="0" xfId="0" applyFont="1" applyBorder="1"/>
    <xf numFmtId="0" fontId="37" fillId="0" borderId="0" xfId="0" applyFont="1" applyBorder="1"/>
    <xf numFmtId="0" fontId="40" fillId="0" borderId="0" xfId="0" applyFont="1" applyBorder="1" applyAlignment="1" applyProtection="1">
      <alignment horizontal="center" vertical="center" wrapText="1"/>
      <protection hidden="1"/>
    </xf>
    <xf numFmtId="0" fontId="40" fillId="0" borderId="0" xfId="0" applyFont="1" applyBorder="1" applyProtection="1">
      <protection hidden="1"/>
    </xf>
    <xf numFmtId="0" fontId="41" fillId="0" borderId="0" xfId="0" applyFont="1" applyBorder="1" applyAlignment="1" applyProtection="1">
      <alignment horizontal="center" vertical="center" wrapText="1"/>
      <protection hidden="1"/>
    </xf>
    <xf numFmtId="0" fontId="41" fillId="0" borderId="0" xfId="0" applyFont="1" applyBorder="1" applyProtection="1">
      <protection hidden="1"/>
    </xf>
    <xf numFmtId="0" fontId="42" fillId="0" borderId="0" xfId="0" applyFont="1" applyBorder="1" applyAlignment="1" applyProtection="1">
      <alignment horizontal="center" vertical="center" wrapText="1"/>
      <protection hidden="1"/>
    </xf>
    <xf numFmtId="0" fontId="42" fillId="0" borderId="0" xfId="0" applyFont="1" applyBorder="1" applyProtection="1">
      <protection hidden="1"/>
    </xf>
    <xf numFmtId="0" fontId="42" fillId="0" borderId="0" xfId="0" applyFont="1" applyFill="1" applyBorder="1" applyAlignment="1" applyProtection="1">
      <alignment horizontal="center" vertical="center" wrapText="1"/>
      <protection hidden="1"/>
    </xf>
    <xf numFmtId="0" fontId="43" fillId="0" borderId="0" xfId="0" applyFont="1" applyBorder="1" applyAlignment="1" applyProtection="1">
      <alignment vertical="top" wrapText="1"/>
      <protection hidden="1"/>
    </xf>
    <xf numFmtId="0" fontId="40" fillId="0" borderId="0" xfId="0" applyFont="1" applyProtection="1">
      <protection hidden="1"/>
    </xf>
    <xf numFmtId="0" fontId="2" fillId="0" borderId="0" xfId="0" applyFont="1" applyFill="1"/>
    <xf numFmtId="1" fontId="22" fillId="3" borderId="1" xfId="0" applyNumberFormat="1" applyFont="1" applyFill="1" applyBorder="1" applyAlignment="1" applyProtection="1">
      <alignment horizontal="center" vertical="center" wrapText="1"/>
      <protection hidden="1"/>
    </xf>
    <xf numFmtId="1" fontId="8" fillId="3" borderId="1" xfId="0" applyNumberFormat="1" applyFont="1" applyFill="1" applyBorder="1" applyAlignment="1" applyProtection="1">
      <alignment horizontal="center" vertical="center" wrapText="1"/>
      <protection hidden="1"/>
    </xf>
    <xf numFmtId="1" fontId="2" fillId="3" borderId="1" xfId="0" applyNumberFormat="1" applyFont="1" applyFill="1" applyBorder="1" applyAlignment="1" applyProtection="1">
      <alignment horizontal="center" vertical="center" wrapText="1"/>
      <protection hidden="1"/>
    </xf>
    <xf numFmtId="1" fontId="1" fillId="3" borderId="1" xfId="0" applyNumberFormat="1" applyFont="1" applyFill="1" applyBorder="1" applyAlignment="1" applyProtection="1">
      <alignment horizontal="center" vertical="center" wrapText="1"/>
      <protection hidden="1"/>
    </xf>
    <xf numFmtId="0" fontId="36" fillId="6" borderId="0" xfId="0" applyFont="1" applyFill="1" applyBorder="1" applyProtection="1">
      <protection hidden="1"/>
    </xf>
    <xf numFmtId="0" fontId="37" fillId="6" borderId="0" xfId="0" applyFont="1" applyFill="1" applyBorder="1" applyProtection="1">
      <protection hidden="1"/>
    </xf>
    <xf numFmtId="0" fontId="0" fillId="7" borderId="0" xfId="0" applyFill="1" applyAlignment="1">
      <alignment vertical="center" wrapText="1"/>
    </xf>
    <xf numFmtId="0" fontId="2" fillId="7" borderId="0" xfId="0" applyFont="1" applyFill="1" applyAlignment="1">
      <alignment vertical="center"/>
    </xf>
    <xf numFmtId="0" fontId="44" fillId="6" borderId="0" xfId="0" applyFont="1" applyFill="1"/>
    <xf numFmtId="165" fontId="1" fillId="3" borderId="2" xfId="0" applyNumberFormat="1" applyFont="1" applyFill="1" applyBorder="1" applyAlignment="1" applyProtection="1">
      <alignment horizontal="center" vertical="center"/>
      <protection hidden="1"/>
    </xf>
    <xf numFmtId="165" fontId="1" fillId="4" borderId="2" xfId="0" applyNumberFormat="1" applyFont="1" applyFill="1" applyBorder="1" applyAlignment="1" applyProtection="1">
      <alignment horizontal="center" vertical="center"/>
      <protection hidden="1"/>
    </xf>
    <xf numFmtId="165" fontId="1" fillId="5" borderId="2" xfId="0" applyNumberFormat="1" applyFont="1" applyFill="1" applyBorder="1" applyAlignment="1" applyProtection="1">
      <alignment horizontal="center" vertical="center"/>
      <protection hidden="1"/>
    </xf>
    <xf numFmtId="165" fontId="1" fillId="2" borderId="6"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164" fontId="35" fillId="0" borderId="0" xfId="0" applyNumberFormat="1" applyFont="1" applyAlignment="1">
      <alignment horizontal="center" vertical="center"/>
    </xf>
    <xf numFmtId="2" fontId="35" fillId="0" borderId="0" xfId="0" applyNumberFormat="1" applyFont="1" applyAlignment="1">
      <alignment horizontal="center" vertical="center"/>
    </xf>
    <xf numFmtId="1" fontId="35" fillId="0" borderId="0" xfId="0" applyNumberFormat="1" applyFont="1" applyAlignment="1">
      <alignment horizontal="center" vertical="center"/>
    </xf>
    <xf numFmtId="0" fontId="35" fillId="0" borderId="0" xfId="0" applyFont="1" applyAlignment="1">
      <alignment horizontal="center" vertical="center" wrapText="1"/>
    </xf>
    <xf numFmtId="0" fontId="22" fillId="0" borderId="0" xfId="0" applyFont="1" applyBorder="1" applyAlignment="1"/>
    <xf numFmtId="0" fontId="35" fillId="0" borderId="0" xfId="0" applyFont="1" applyFill="1" applyBorder="1" applyProtection="1">
      <protection hidden="1"/>
    </xf>
    <xf numFmtId="0" fontId="36" fillId="0" borderId="0" xfId="0" applyFont="1" applyFill="1" applyBorder="1" applyProtection="1">
      <protection hidden="1"/>
    </xf>
    <xf numFmtId="0" fontId="37" fillId="0" borderId="0" xfId="0" applyFont="1" applyFill="1" applyBorder="1" applyProtection="1">
      <protection hidden="1"/>
    </xf>
    <xf numFmtId="2" fontId="37" fillId="6" borderId="0" xfId="0" applyNumberFormat="1" applyFont="1" applyFill="1" applyBorder="1" applyAlignment="1" applyProtection="1">
      <alignment horizontal="center" vertical="center"/>
      <protection hidden="1"/>
    </xf>
    <xf numFmtId="0" fontId="37" fillId="0" borderId="0" xfId="0" applyFont="1" applyFill="1" applyBorder="1" applyAlignment="1" applyProtection="1">
      <alignment horizontal="center" vertical="center"/>
      <protection hidden="1"/>
    </xf>
    <xf numFmtId="0" fontId="36" fillId="6" borderId="0" xfId="0" applyFont="1" applyFill="1" applyBorder="1" applyAlignment="1" applyProtection="1">
      <alignment horizontal="center" vertical="center"/>
      <protection hidden="1"/>
    </xf>
    <xf numFmtId="0" fontId="45" fillId="6" borderId="0" xfId="0" applyFont="1" applyFill="1" applyBorder="1" applyProtection="1">
      <protection hidden="1"/>
    </xf>
    <xf numFmtId="0" fontId="39" fillId="6" borderId="0" xfId="0" applyFont="1" applyFill="1" applyBorder="1" applyAlignment="1" applyProtection="1">
      <alignment vertical="center"/>
      <protection hidden="1"/>
    </xf>
    <xf numFmtId="0" fontId="39" fillId="6" borderId="0" xfId="0" applyFont="1" applyFill="1" applyBorder="1" applyProtection="1">
      <protection hidden="1"/>
    </xf>
    <xf numFmtId="0" fontId="37" fillId="6" borderId="0" xfId="0" applyFont="1" applyFill="1" applyBorder="1" applyAlignment="1" applyProtection="1">
      <alignment horizontal="center" vertical="center" wrapText="1"/>
      <protection hidden="1"/>
    </xf>
    <xf numFmtId="1" fontId="35" fillId="6" borderId="0" xfId="0" applyNumberFormat="1" applyFont="1" applyFill="1" applyBorder="1" applyAlignment="1" applyProtection="1">
      <alignment horizontal="center" vertical="center"/>
      <protection hidden="1"/>
    </xf>
    <xf numFmtId="0" fontId="35" fillId="6" borderId="0" xfId="0" applyFont="1" applyFill="1" applyBorder="1" applyAlignment="1" applyProtection="1">
      <alignment horizontal="center" vertical="center"/>
      <protection hidden="1"/>
    </xf>
    <xf numFmtId="0" fontId="35" fillId="0" borderId="0" xfId="0" applyFont="1" applyFill="1" applyBorder="1" applyAlignment="1" applyProtection="1">
      <alignment horizontal="center" vertical="center"/>
      <protection hidden="1"/>
    </xf>
    <xf numFmtId="2" fontId="35" fillId="6" borderId="0" xfId="0" applyNumberFormat="1" applyFont="1" applyFill="1" applyBorder="1" applyAlignment="1" applyProtection="1">
      <alignment horizontal="center" vertical="center"/>
      <protection hidden="1"/>
    </xf>
    <xf numFmtId="0" fontId="39" fillId="6" borderId="0" xfId="0" applyFont="1" applyFill="1" applyBorder="1" applyAlignment="1" applyProtection="1">
      <alignment horizontal="center" vertical="center" wrapText="1"/>
      <protection hidden="1"/>
    </xf>
    <xf numFmtId="0" fontId="35" fillId="0" borderId="0" xfId="0" applyFont="1" applyFill="1" applyProtection="1">
      <protection hidden="1"/>
    </xf>
    <xf numFmtId="164" fontId="0" fillId="3" borderId="8" xfId="0" applyNumberFormat="1" applyFill="1" applyBorder="1" applyAlignment="1" applyProtection="1">
      <alignment horizontal="center" vertical="center"/>
      <protection hidden="1"/>
    </xf>
    <xf numFmtId="49" fontId="1" fillId="0" borderId="9" xfId="0" applyNumberFormat="1" applyFont="1" applyFill="1" applyBorder="1" applyAlignment="1" applyProtection="1">
      <alignment horizontal="center" vertical="center" wrapText="1"/>
    </xf>
    <xf numFmtId="49" fontId="1" fillId="0" borderId="10" xfId="0" applyNumberFormat="1" applyFont="1" applyFill="1" applyBorder="1" applyAlignment="1" applyProtection="1">
      <alignment horizontal="center" vertical="center"/>
    </xf>
    <xf numFmtId="49" fontId="1" fillId="0" borderId="11" xfId="0" applyNumberFormat="1" applyFont="1" applyFill="1" applyBorder="1" applyAlignment="1" applyProtection="1">
      <alignment horizontal="center" vertical="center"/>
    </xf>
    <xf numFmtId="49" fontId="2" fillId="2" borderId="3" xfId="0" applyNumberFormat="1" applyFont="1" applyFill="1" applyBorder="1" applyAlignment="1" applyProtection="1">
      <alignment horizontal="center" vertical="center" wrapText="1"/>
      <protection locked="0"/>
    </xf>
    <xf numFmtId="165" fontId="0" fillId="3" borderId="2" xfId="0" applyNumberFormat="1" applyFill="1" applyBorder="1" applyAlignment="1" applyProtection="1">
      <alignment horizontal="center" vertical="center"/>
      <protection hidden="1"/>
    </xf>
    <xf numFmtId="49" fontId="1" fillId="3" borderId="3" xfId="0" applyNumberFormat="1" applyFont="1" applyFill="1" applyBorder="1" applyAlignment="1" applyProtection="1">
      <alignment horizontal="center" vertical="center"/>
      <protection hidden="1"/>
    </xf>
    <xf numFmtId="165" fontId="1" fillId="3" borderId="6" xfId="0" applyNumberFormat="1" applyFont="1" applyFill="1" applyBorder="1" applyAlignment="1" applyProtection="1">
      <alignment horizontal="center" vertical="center"/>
      <protection hidden="1"/>
    </xf>
    <xf numFmtId="0" fontId="1" fillId="3" borderId="3" xfId="0" applyFont="1" applyFill="1" applyBorder="1" applyAlignment="1" applyProtection="1">
      <alignment horizontal="center" vertical="center"/>
      <protection hidden="1"/>
    </xf>
    <xf numFmtId="164" fontId="1" fillId="3" borderId="2" xfId="0" applyNumberFormat="1" applyFont="1" applyFill="1" applyBorder="1" applyAlignment="1" applyProtection="1">
      <alignment horizontal="center" vertical="center"/>
      <protection hidden="1"/>
    </xf>
    <xf numFmtId="0" fontId="1" fillId="3" borderId="4" xfId="0" applyFont="1" applyFill="1" applyBorder="1" applyAlignment="1" applyProtection="1">
      <alignment horizontal="center" vertical="center"/>
      <protection hidden="1"/>
    </xf>
    <xf numFmtId="164" fontId="1" fillId="3" borderId="5" xfId="0" applyNumberFormat="1" applyFont="1" applyFill="1" applyBorder="1" applyAlignment="1" applyProtection="1">
      <alignment horizontal="center" vertical="center"/>
      <protection hidden="1"/>
    </xf>
    <xf numFmtId="164" fontId="1" fillId="3" borderId="6" xfId="0" applyNumberFormat="1" applyFont="1" applyFill="1" applyBorder="1" applyAlignment="1" applyProtection="1">
      <alignment horizontal="center" vertical="center"/>
      <protection hidden="1"/>
    </xf>
    <xf numFmtId="49" fontId="2" fillId="2" borderId="12" xfId="0" applyNumberFormat="1" applyFont="1" applyFill="1" applyBorder="1" applyAlignment="1" applyProtection="1">
      <alignment horizontal="center" vertical="center" wrapText="1"/>
      <protection locked="0"/>
    </xf>
    <xf numFmtId="164" fontId="0" fillId="2" borderId="13" xfId="0" applyNumberFormat="1" applyFill="1" applyBorder="1" applyAlignment="1" applyProtection="1">
      <alignment horizontal="center" vertical="center"/>
      <protection locked="0"/>
    </xf>
    <xf numFmtId="49" fontId="1" fillId="3" borderId="9" xfId="0" applyNumberFormat="1" applyFont="1" applyFill="1" applyBorder="1" applyAlignment="1" applyProtection="1">
      <alignment horizontal="center" vertical="center"/>
      <protection hidden="1"/>
    </xf>
    <xf numFmtId="164" fontId="1" fillId="3" borderId="10" xfId="0" applyNumberFormat="1" applyFont="1" applyFill="1" applyBorder="1" applyAlignment="1" applyProtection="1">
      <alignment horizontal="center" vertical="center"/>
      <protection hidden="1"/>
    </xf>
    <xf numFmtId="0" fontId="35" fillId="0" borderId="0" xfId="0" applyFont="1" applyAlignment="1">
      <alignment horizontal="center" vertical="center"/>
    </xf>
    <xf numFmtId="0" fontId="37" fillId="6" borderId="0" xfId="0" applyFont="1" applyFill="1" applyBorder="1" applyProtection="1">
      <protection hidden="1"/>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0" fontId="37" fillId="6" borderId="0" xfId="0" applyFont="1" applyFill="1" applyBorder="1" applyAlignment="1" applyProtection="1">
      <alignment horizontal="center" vertical="center"/>
      <protection hidden="1"/>
    </xf>
    <xf numFmtId="164" fontId="30" fillId="3" borderId="1" xfId="0" applyNumberFormat="1" applyFont="1" applyFill="1" applyBorder="1" applyAlignment="1" applyProtection="1">
      <alignment horizontal="center" vertical="center" wrapText="1"/>
      <protection hidden="1"/>
    </xf>
    <xf numFmtId="0" fontId="30" fillId="3" borderId="1" xfId="0"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wrapText="1"/>
      <protection hidden="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2" borderId="1" xfId="0" applyFont="1" applyFill="1" applyBorder="1" applyAlignment="1" applyProtection="1">
      <alignment horizontal="left" vertical="center" wrapText="1"/>
      <protection locked="0"/>
    </xf>
    <xf numFmtId="0" fontId="1" fillId="2" borderId="5" xfId="0" applyFont="1" applyFill="1" applyBorder="1" applyAlignment="1" applyProtection="1">
      <alignment horizontal="left" vertical="center" wrapText="1"/>
      <protection locked="0"/>
    </xf>
    <xf numFmtId="165" fontId="0" fillId="3" borderId="1" xfId="0" applyNumberFormat="1" applyFill="1" applyBorder="1" applyAlignment="1" applyProtection="1">
      <alignment horizontal="center" vertical="center"/>
      <protection hidden="1"/>
    </xf>
    <xf numFmtId="2" fontId="2" fillId="11" borderId="1" xfId="0" applyNumberFormat="1" applyFont="1" applyFill="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2" fillId="11" borderId="2" xfId="0" applyNumberFormat="1" applyFont="1" applyFill="1" applyBorder="1" applyAlignment="1" applyProtection="1">
      <alignment horizontal="center" vertical="center" wrapText="1"/>
      <protection locked="0"/>
    </xf>
    <xf numFmtId="0" fontId="1" fillId="11" borderId="1" xfId="0" applyFont="1" applyFill="1" applyBorder="1" applyAlignment="1" applyProtection="1">
      <alignment horizontal="left" vertical="center" wrapText="1"/>
      <protection locked="0"/>
    </xf>
    <xf numFmtId="0" fontId="16" fillId="0" borderId="1" xfId="0" applyFont="1" applyFill="1" applyBorder="1" applyAlignment="1" applyProtection="1">
      <alignment horizontal="center" vertical="center"/>
      <protection hidden="1"/>
    </xf>
    <xf numFmtId="0" fontId="16" fillId="0" borderId="14" xfId="0" applyFont="1" applyFill="1" applyBorder="1" applyAlignment="1" applyProtection="1">
      <alignment horizontal="center" vertical="center" wrapText="1"/>
      <protection hidden="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17" fillId="0" borderId="1" xfId="0" applyFont="1" applyFill="1" applyBorder="1" applyAlignment="1" applyProtection="1">
      <alignment horizontal="center" vertical="center" textRotation="90"/>
      <protection hidden="1"/>
    </xf>
    <xf numFmtId="0" fontId="16" fillId="8" borderId="1" xfId="0" applyFont="1" applyFill="1" applyBorder="1" applyAlignment="1" applyProtection="1">
      <alignment horizontal="center" vertical="center"/>
      <protection hidden="1"/>
    </xf>
    <xf numFmtId="0" fontId="0" fillId="8" borderId="1" xfId="0" applyFill="1" applyBorder="1" applyAlignment="1"/>
    <xf numFmtId="0" fontId="16" fillId="9" borderId="1" xfId="0" applyFont="1" applyFill="1" applyBorder="1" applyAlignment="1" applyProtection="1">
      <alignment horizontal="center" vertical="center"/>
      <protection hidden="1"/>
    </xf>
    <xf numFmtId="0" fontId="0" fillId="9" borderId="1" xfId="0" applyFill="1" applyBorder="1" applyAlignment="1"/>
    <xf numFmtId="0" fontId="0" fillId="0" borderId="1" xfId="0" applyBorder="1" applyAlignment="1"/>
    <xf numFmtId="0" fontId="16" fillId="0" borderId="1" xfId="0" applyFont="1" applyBorder="1" applyAlignment="1" applyProtection="1">
      <alignment horizontal="center" vertical="center"/>
      <protection hidden="1"/>
    </xf>
    <xf numFmtId="0" fontId="0" fillId="0" borderId="0" xfId="0" applyFill="1" applyBorder="1" applyAlignment="1">
      <alignment horizontal="center" vertical="center" wrapText="1"/>
    </xf>
    <xf numFmtId="49" fontId="1" fillId="0" borderId="20" xfId="0" applyNumberFormat="1" applyFont="1" applyFill="1" applyBorder="1" applyAlignment="1" applyProtection="1">
      <alignment horizontal="center" vertical="center"/>
      <protection hidden="1"/>
    </xf>
    <xf numFmtId="49" fontId="1" fillId="0" borderId="7" xfId="0" applyNumberFormat="1" applyFont="1" applyFill="1" applyBorder="1" applyAlignment="1" applyProtection="1">
      <alignment horizontal="center" vertical="center"/>
      <protection hidden="1"/>
    </xf>
    <xf numFmtId="49" fontId="1" fillId="0" borderId="21" xfId="0" applyNumberFormat="1" applyFont="1" applyFill="1" applyBorder="1" applyAlignment="1" applyProtection="1">
      <alignment horizontal="center" vertical="center"/>
      <protection hidden="1"/>
    </xf>
    <xf numFmtId="0" fontId="11" fillId="3" borderId="22" xfId="0" applyFont="1" applyFill="1" applyBorder="1" applyAlignment="1" applyProtection="1">
      <alignment horizontal="left" vertical="top" wrapText="1"/>
      <protection hidden="1"/>
    </xf>
    <xf numFmtId="0" fontId="11" fillId="3" borderId="23" xfId="0" applyFont="1" applyFill="1" applyBorder="1" applyAlignment="1" applyProtection="1">
      <alignment horizontal="left" vertical="top" wrapText="1"/>
      <protection hidden="1"/>
    </xf>
    <xf numFmtId="0" fontId="11" fillId="3" borderId="24" xfId="0" applyFont="1" applyFill="1" applyBorder="1" applyAlignment="1" applyProtection="1">
      <alignment horizontal="left" vertical="top" wrapText="1"/>
      <protection hidden="1"/>
    </xf>
    <xf numFmtId="0" fontId="11" fillId="3" borderId="25" xfId="0" applyFont="1" applyFill="1" applyBorder="1" applyAlignment="1" applyProtection="1">
      <alignment horizontal="left" vertical="top" wrapText="1"/>
      <protection hidden="1"/>
    </xf>
    <xf numFmtId="0" fontId="11" fillId="3" borderId="0" xfId="0" applyFont="1" applyFill="1" applyBorder="1" applyAlignment="1" applyProtection="1">
      <alignment horizontal="left" vertical="top" wrapText="1"/>
      <protection hidden="1"/>
    </xf>
    <xf numFmtId="0" fontId="11" fillId="3" borderId="26" xfId="0" applyFont="1" applyFill="1" applyBorder="1" applyAlignment="1" applyProtection="1">
      <alignment horizontal="left" vertical="top" wrapText="1"/>
      <protection hidden="1"/>
    </xf>
    <xf numFmtId="0" fontId="0" fillId="0" borderId="25" xfId="0" applyBorder="1" applyAlignment="1"/>
    <xf numFmtId="0" fontId="0" fillId="0" borderId="0" xfId="0" applyBorder="1" applyAlignment="1"/>
    <xf numFmtId="0" fontId="0" fillId="0" borderId="26" xfId="0" applyBorder="1" applyAlignment="1"/>
    <xf numFmtId="0" fontId="0" fillId="0" borderId="27" xfId="0" applyBorder="1" applyAlignment="1"/>
    <xf numFmtId="0" fontId="0" fillId="0" borderId="28" xfId="0" applyBorder="1" applyAlignment="1"/>
    <xf numFmtId="0" fontId="0" fillId="0" borderId="29" xfId="0" applyBorder="1" applyAlignment="1"/>
    <xf numFmtId="0" fontId="0" fillId="0" borderId="0" xfId="0"/>
    <xf numFmtId="0" fontId="12" fillId="3" borderId="1" xfId="0" applyFont="1" applyFill="1" applyBorder="1" applyAlignment="1" applyProtection="1">
      <alignment vertical="center" wrapText="1"/>
      <protection hidden="1"/>
    </xf>
    <xf numFmtId="0" fontId="0" fillId="0" borderId="1" xfId="0" applyBorder="1" applyAlignment="1">
      <alignment vertical="center" wrapText="1"/>
    </xf>
    <xf numFmtId="0" fontId="0" fillId="0" borderId="1" xfId="0" applyBorder="1" applyAlignment="1">
      <alignment vertical="center"/>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 xfId="0" applyFont="1" applyBorder="1" applyAlignment="1">
      <alignment horizontal="center" vertical="center" wrapText="1"/>
    </xf>
    <xf numFmtId="0" fontId="0" fillId="0" borderId="1" xfId="0" applyBorder="1" applyAlignment="1" applyProtection="1">
      <alignment horizontal="center" vertical="center" wrapText="1"/>
      <protection hidden="1"/>
    </xf>
    <xf numFmtId="0" fontId="1" fillId="10" borderId="10" xfId="0" applyFont="1" applyFill="1" applyBorder="1" applyAlignment="1" applyProtection="1">
      <alignment horizontal="center" vertical="center" wrapText="1"/>
      <protection hidden="1"/>
    </xf>
    <xf numFmtId="0" fontId="1" fillId="10" borderId="11" xfId="0" applyFont="1" applyFill="1" applyBorder="1" applyAlignment="1" applyProtection="1">
      <alignment horizontal="center" vertical="center" wrapText="1"/>
      <protection hidden="1"/>
    </xf>
    <xf numFmtId="0" fontId="2" fillId="0" borderId="8" xfId="0" applyFont="1" applyBorder="1" applyAlignment="1" applyProtection="1">
      <alignment horizontal="center" vertical="center" wrapText="1"/>
      <protection hidden="1"/>
    </xf>
    <xf numFmtId="0" fontId="0" fillId="0" borderId="8" xfId="0" applyBorder="1" applyAlignment="1" applyProtection="1">
      <alignment horizontal="center" vertical="center" wrapText="1"/>
      <protection hidden="1"/>
    </xf>
    <xf numFmtId="0" fontId="0" fillId="3" borderId="22" xfId="0" applyFill="1" applyBorder="1" applyAlignment="1" applyProtection="1">
      <alignment horizontal="center" vertical="center" wrapText="1"/>
      <protection hidden="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center" vertical="center" wrapText="1"/>
    </xf>
    <xf numFmtId="49" fontId="1" fillId="10" borderId="9" xfId="0" applyNumberFormat="1" applyFont="1" applyFill="1" applyBorder="1" applyAlignment="1" applyProtection="1">
      <alignment horizontal="center" vertical="center" wrapText="1"/>
      <protection hidden="1"/>
    </xf>
    <xf numFmtId="49" fontId="1" fillId="10" borderId="3" xfId="0" applyNumberFormat="1" applyFont="1" applyFill="1" applyBorder="1" applyAlignment="1" applyProtection="1">
      <alignment horizontal="center" vertical="center" wrapText="1"/>
      <protection hidden="1"/>
    </xf>
    <xf numFmtId="0" fontId="0" fillId="10" borderId="3" xfId="0" applyFill="1" applyBorder="1" applyAlignment="1"/>
    <xf numFmtId="49" fontId="1" fillId="10" borderId="10" xfId="0" applyNumberFormat="1" applyFont="1" applyFill="1" applyBorder="1" applyAlignment="1" applyProtection="1">
      <alignment horizontal="center" vertical="center" wrapText="1"/>
      <protection hidden="1"/>
    </xf>
    <xf numFmtId="49" fontId="1" fillId="10" borderId="1" xfId="0" applyNumberFormat="1" applyFont="1" applyFill="1" applyBorder="1" applyAlignment="1" applyProtection="1">
      <alignment horizontal="center" vertical="center" wrapText="1"/>
      <protection hidden="1"/>
    </xf>
    <xf numFmtId="0" fontId="0" fillId="10" borderId="1" xfId="0" applyFill="1" applyBorder="1" applyAlignment="1"/>
    <xf numFmtId="0" fontId="1" fillId="10" borderId="1" xfId="0" applyFont="1" applyFill="1" applyBorder="1" applyAlignment="1" applyProtection="1">
      <alignment horizontal="center" vertical="center" wrapText="1"/>
      <protection hidden="1"/>
    </xf>
    <xf numFmtId="0" fontId="1" fillId="10" borderId="2" xfId="0" applyFont="1" applyFill="1" applyBorder="1" applyAlignment="1" applyProtection="1">
      <alignment horizontal="center" vertical="center" wrapText="1"/>
      <protection hidden="1"/>
    </xf>
    <xf numFmtId="0" fontId="0" fillId="10" borderId="2" xfId="0" applyFill="1" applyBorder="1" applyAlignment="1"/>
    <xf numFmtId="0" fontId="4" fillId="3" borderId="22" xfId="0" applyFont="1" applyFill="1" applyBorder="1" applyAlignment="1" applyProtection="1">
      <alignment horizontal="left" vertical="justify" wrapText="1"/>
      <protection hidden="1"/>
    </xf>
    <xf numFmtId="0" fontId="4" fillId="3" borderId="23" xfId="0" applyFont="1" applyFill="1" applyBorder="1" applyAlignment="1" applyProtection="1">
      <alignment horizontal="left" vertical="justify" wrapText="1"/>
      <protection hidden="1"/>
    </xf>
    <xf numFmtId="0" fontId="4" fillId="3" borderId="24" xfId="0" applyFont="1" applyFill="1" applyBorder="1" applyAlignment="1" applyProtection="1">
      <alignment horizontal="left" vertical="justify" wrapText="1"/>
      <protection hidden="1"/>
    </xf>
    <xf numFmtId="0" fontId="4" fillId="3" borderId="25" xfId="0" applyFont="1" applyFill="1" applyBorder="1" applyAlignment="1" applyProtection="1">
      <alignment horizontal="left" vertical="justify" wrapText="1"/>
      <protection hidden="1"/>
    </xf>
    <xf numFmtId="0" fontId="4" fillId="3" borderId="0" xfId="0" applyFont="1" applyFill="1" applyBorder="1" applyAlignment="1" applyProtection="1">
      <alignment horizontal="left" vertical="justify" wrapText="1"/>
      <protection hidden="1"/>
    </xf>
    <xf numFmtId="0" fontId="4" fillId="3" borderId="26" xfId="0" applyFont="1" applyFill="1" applyBorder="1" applyAlignment="1" applyProtection="1">
      <alignment horizontal="left" vertical="justify" wrapText="1"/>
      <protection hidden="1"/>
    </xf>
    <xf numFmtId="0" fontId="4" fillId="3" borderId="27" xfId="0" applyFont="1" applyFill="1" applyBorder="1" applyAlignment="1" applyProtection="1">
      <alignment horizontal="left" vertical="justify" wrapText="1"/>
      <protection hidden="1"/>
    </xf>
    <xf numFmtId="0" fontId="4" fillId="3" borderId="28" xfId="0" applyFont="1" applyFill="1" applyBorder="1" applyAlignment="1" applyProtection="1">
      <alignment horizontal="left" vertical="justify" wrapText="1"/>
      <protection hidden="1"/>
    </xf>
    <xf numFmtId="0" fontId="4" fillId="3" borderId="29" xfId="0" applyFont="1" applyFill="1" applyBorder="1" applyAlignment="1" applyProtection="1">
      <alignment horizontal="left" vertical="justify" wrapText="1"/>
      <protection hidden="1"/>
    </xf>
    <xf numFmtId="0" fontId="35" fillId="0" borderId="0" xfId="0" applyFont="1" applyAlignment="1">
      <alignment horizontal="center" vertical="center"/>
    </xf>
    <xf numFmtId="0" fontId="46" fillId="6" borderId="0" xfId="0" applyFont="1" applyFill="1" applyBorder="1" applyAlignment="1" applyProtection="1">
      <alignment horizontal="center" vertical="center" wrapText="1"/>
      <protection hidden="1"/>
    </xf>
    <xf numFmtId="0" fontId="46" fillId="0" borderId="0" xfId="0" applyFont="1" applyAlignment="1">
      <alignment horizontal="center" vertical="center" wrapText="1"/>
    </xf>
    <xf numFmtId="49" fontId="9" fillId="3" borderId="13" xfId="0" applyNumberFormat="1" applyFont="1" applyFill="1" applyBorder="1" applyAlignment="1" applyProtection="1">
      <alignment horizontal="center" vertical="center"/>
      <protection hidden="1"/>
    </xf>
    <xf numFmtId="0" fontId="0" fillId="0" borderId="30" xfId="0" applyBorder="1" applyAlignment="1">
      <alignment horizontal="center" vertical="center"/>
    </xf>
    <xf numFmtId="0" fontId="0" fillId="0" borderId="7" xfId="0" applyBorder="1" applyAlignment="1">
      <alignment horizontal="center" vertical="center"/>
    </xf>
    <xf numFmtId="0" fontId="37" fillId="6" borderId="0" xfId="0" applyFont="1" applyFill="1" applyBorder="1" applyAlignment="1" applyProtection="1">
      <alignment horizontal="center" vertical="center"/>
      <protection hidden="1"/>
    </xf>
    <xf numFmtId="0" fontId="35" fillId="0" borderId="0" xfId="0" applyFont="1" applyAlignment="1" applyProtection="1">
      <alignment horizontal="center" vertical="center"/>
      <protection hidden="1"/>
    </xf>
    <xf numFmtId="0" fontId="19" fillId="3" borderId="1" xfId="0" applyFont="1" applyFill="1" applyBorder="1" applyAlignment="1" applyProtection="1">
      <alignment horizontal="left" vertical="center" wrapText="1"/>
      <protection hidden="1"/>
    </xf>
    <xf numFmtId="0" fontId="37" fillId="6" borderId="0" xfId="0" applyFont="1" applyFill="1" applyBorder="1" applyProtection="1">
      <protection hidden="1"/>
    </xf>
    <xf numFmtId="0" fontId="4" fillId="3" borderId="1" xfId="0" applyFont="1" applyFill="1" applyBorder="1" applyAlignment="1" applyProtection="1">
      <alignment horizontal="center" vertical="center" wrapText="1"/>
      <protection hidden="1"/>
    </xf>
    <xf numFmtId="49" fontId="9" fillId="3" borderId="30" xfId="0" applyNumberFormat="1" applyFont="1" applyFill="1" applyBorder="1" applyAlignment="1" applyProtection="1">
      <alignment horizontal="center" vertical="center"/>
      <protection hidden="1"/>
    </xf>
    <xf numFmtId="49" fontId="9" fillId="3" borderId="7" xfId="0" applyNumberFormat="1" applyFont="1" applyFill="1" applyBorder="1" applyAlignment="1" applyProtection="1">
      <alignment horizontal="center" vertical="center"/>
      <protection hidden="1"/>
    </xf>
    <xf numFmtId="165" fontId="9" fillId="3" borderId="1" xfId="0" applyNumberFormat="1" applyFont="1" applyFill="1" applyBorder="1" applyAlignment="1" applyProtection="1">
      <alignment horizontal="left" vertical="center"/>
      <protection hidden="1"/>
    </xf>
    <xf numFmtId="0" fontId="0" fillId="0" borderId="1" xfId="0" applyBorder="1" applyAlignment="1">
      <alignment horizontal="left" vertical="center"/>
    </xf>
    <xf numFmtId="0" fontId="2" fillId="7" borderId="0" xfId="0" applyFont="1" applyFill="1" applyAlignment="1">
      <alignment vertical="center" wrapText="1"/>
    </xf>
    <xf numFmtId="0" fontId="0" fillId="7" borderId="0" xfId="0" applyFill="1" applyAlignment="1">
      <alignment vertical="center" wrapText="1"/>
    </xf>
    <xf numFmtId="0" fontId="2" fillId="0" borderId="0" xfId="0" applyFont="1" applyFill="1" applyAlignment="1">
      <alignment wrapText="1"/>
    </xf>
    <xf numFmtId="0" fontId="0" fillId="0" borderId="0" xfId="0" applyFill="1" applyAlignment="1">
      <alignment wrapText="1"/>
    </xf>
    <xf numFmtId="0" fontId="2" fillId="0" borderId="0" xfId="0" applyFont="1" applyAlignment="1">
      <alignment vertical="center" wrapText="1"/>
    </xf>
    <xf numFmtId="0" fontId="0" fillId="0" borderId="0" xfId="0" applyAlignment="1">
      <alignment vertical="center" wrapText="1"/>
    </xf>
  </cellXfs>
  <cellStyles count="1">
    <cellStyle name="Обычный" xfId="0" builtinId="0"/>
  </cellStyles>
  <dxfs count="27">
    <dxf>
      <fill>
        <patternFill>
          <bgColor indexed="42"/>
        </patternFill>
      </fill>
    </dxf>
    <dxf>
      <fill>
        <patternFill patternType="lightDown">
          <fgColor indexed="45"/>
          <bgColor indexed="43"/>
        </patternFill>
      </fill>
    </dxf>
    <dxf>
      <fill>
        <patternFill>
          <bgColor indexed="51"/>
        </patternFill>
      </fill>
    </dxf>
    <dxf>
      <fill>
        <patternFill patternType="lightDown">
          <fgColor indexed="45"/>
          <bgColor indexed="43"/>
        </patternFill>
      </fill>
    </dxf>
    <dxf>
      <fill>
        <patternFill>
          <bgColor indexed="52"/>
        </patternFill>
      </fill>
    </dxf>
    <dxf>
      <fill>
        <patternFill patternType="lightDown">
          <fgColor indexed="45"/>
          <bgColor indexed="43"/>
        </patternFill>
      </fill>
    </dxf>
    <dxf>
      <fill>
        <patternFill>
          <bgColor indexed="41"/>
        </patternFill>
      </fill>
    </dxf>
    <dxf>
      <fill>
        <patternFill patternType="lightDown">
          <fgColor indexed="45"/>
          <bgColor indexed="43"/>
        </patternFill>
      </fill>
    </dxf>
    <dxf>
      <fill>
        <patternFill>
          <bgColor indexed="41"/>
        </patternFill>
      </fill>
    </dxf>
    <dxf>
      <fill>
        <patternFill>
          <bgColor indexed="52"/>
        </patternFill>
      </fill>
    </dxf>
    <dxf>
      <fill>
        <patternFill>
          <bgColor indexed="51"/>
        </patternFill>
      </fill>
    </dxf>
    <dxf>
      <fill>
        <patternFill>
          <bgColor indexed="42"/>
        </patternFill>
      </fill>
    </dxf>
    <dxf>
      <font>
        <condense val="0"/>
        <extend val="0"/>
        <color indexed="9"/>
      </font>
    </dxf>
    <dxf>
      <font>
        <condense val="0"/>
        <extend val="0"/>
        <color indexed="42"/>
      </font>
    </dxf>
    <dxf>
      <font>
        <condense val="0"/>
        <extend val="0"/>
        <color indexed="43"/>
      </font>
    </dxf>
    <dxf>
      <font>
        <condense val="0"/>
        <extend val="0"/>
        <color indexed="47"/>
      </font>
    </dxf>
    <dxf>
      <font>
        <condense val="0"/>
        <extend val="0"/>
        <color indexed="41"/>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2"/>
      </font>
    </dxf>
    <dxf>
      <font>
        <condense val="0"/>
        <extend val="0"/>
        <color indexed="4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3. Распределение </a:t>
            </a:r>
            <a:r>
              <a:rPr lang="en-US"/>
              <a:t>HI / CI</a:t>
            </a:r>
          </a:p>
        </c:rich>
      </c:tx>
      <c:layout>
        <c:manualLayout>
          <c:xMode val="edge"/>
          <c:yMode val="edge"/>
          <c:x val="0.35470160247063132"/>
          <c:y val="1.6203729929442273E-2"/>
        </c:manualLayout>
      </c:layout>
      <c:overlay val="0"/>
      <c:spPr>
        <a:noFill/>
        <a:ln w="25400">
          <a:noFill/>
        </a:ln>
      </c:spPr>
    </c:title>
    <c:autoTitleDeleted val="0"/>
    <c:plotArea>
      <c:layout>
        <c:manualLayout>
          <c:layoutTarget val="inner"/>
          <c:xMode val="edge"/>
          <c:yMode val="edge"/>
          <c:x val="8.8319275261532465E-2"/>
          <c:y val="9.7222399635107565E-2"/>
          <c:w val="0.88319257254633421"/>
          <c:h val="0.81713216949854672"/>
        </c:manualLayout>
      </c:layout>
      <c:scatterChart>
        <c:scatterStyle val="lineMarker"/>
        <c:varyColors val="0"/>
        <c:ser>
          <c:idx val="0"/>
          <c:order val="0"/>
          <c:tx>
            <c:strRef>
              <c:f>Индексы!$D$1</c:f>
              <c:strCache>
                <c:ptCount val="1"/>
                <c:pt idx="0">
                  <c:v>Hi</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1.5282767625015314</c:v>
                </c:pt>
                <c:pt idx="1">
                  <c:v>1.9164555202344393</c:v>
                </c:pt>
                <c:pt idx="2">
                  <c:v>1.6440810344746601</c:v>
                </c:pt>
                <c:pt idx="3">
                  <c:v>1.9920147757720568</c:v>
                </c:pt>
                <c:pt idx="4">
                  <c:v>1.4109272143878087</c:v>
                </c:pt>
                <c:pt idx="5">
                  <c:v>1.5483148380786116</c:v>
                </c:pt>
                <c:pt idx="6">
                  <c:v>1.663250547532251</c:v>
                </c:pt>
                <c:pt idx="7">
                  <c:v>1.6113729101070193</c:v>
                </c:pt>
                <c:pt idx="8">
                  <c:v>1.3612874354651794</c:v>
                </c:pt>
                <c:pt idx="9">
                  <c:v>1.5079561080918844</c:v>
                </c:pt>
                <c:pt idx="10">
                  <c:v>1.5252636058549101</c:v>
                </c:pt>
                <c:pt idx="11">
                  <c:v>1.3078050972936459</c:v>
                </c:pt>
                <c:pt idx="12">
                  <c:v>1.5893902422370587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1.5851073916946967</c:v>
                </c:pt>
              </c:numCache>
            </c:numRef>
          </c:xVal>
          <c:yVal>
            <c:numRef>
              <c:f>Индексы!$D$2:$D$102</c:f>
              <c:numCache>
                <c:formatCode>0.000</c:formatCode>
                <c:ptCount val="101"/>
                <c:pt idx="0">
                  <c:v>0.75126183776853661</c:v>
                </c:pt>
                <c:pt idx="1">
                  <c:v>0.76455909290929758</c:v>
                </c:pt>
                <c:pt idx="2">
                  <c:v>0.79374193977580476</c:v>
                </c:pt>
                <c:pt idx="3">
                  <c:v>0.78752269410526632</c:v>
                </c:pt>
                <c:pt idx="4">
                  <c:v>0.69248655536243242</c:v>
                </c:pt>
                <c:pt idx="5">
                  <c:v>0.79753126125719653</c:v>
                </c:pt>
                <c:pt idx="6">
                  <c:v>0.76355889681606737</c:v>
                </c:pt>
                <c:pt idx="7">
                  <c:v>0.79825071663242375</c:v>
                </c:pt>
                <c:pt idx="8">
                  <c:v>0.74317772191581455</c:v>
                </c:pt>
                <c:pt idx="9">
                  <c:v>0.69820645691262306</c:v>
                </c:pt>
                <c:pt idx="10">
                  <c:v>0.71058773995579638</c:v>
                </c:pt>
                <c:pt idx="11">
                  <c:v>0.72175546395700618</c:v>
                </c:pt>
                <c:pt idx="12">
                  <c:v>0.79523232204098837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0.7552209768776349</c:v>
                </c:pt>
              </c:numCache>
            </c:numRef>
          </c:yVal>
          <c:smooth val="0"/>
        </c:ser>
        <c:ser>
          <c:idx val="1"/>
          <c:order val="1"/>
          <c:tx>
            <c:v>Mellifera1</c:v>
          </c:tx>
          <c:spPr>
            <a:ln w="38100">
              <a:solidFill>
                <a:srgbClr val="0000FF"/>
              </a:solidFill>
              <a:prstDash val="lgDash"/>
            </a:ln>
          </c:spPr>
          <c:marker>
            <c:symbol val="none"/>
          </c:marker>
          <c:xVal>
            <c:numRef>
              <c:f>'ИД и расчеты'!$C$219:$C$220</c:f>
              <c:numCache>
                <c:formatCode>0.00</c:formatCode>
                <c:ptCount val="2"/>
                <c:pt idx="0">
                  <c:v>0.76</c:v>
                </c:pt>
                <c:pt idx="1">
                  <c:v>0.76</c:v>
                </c:pt>
              </c:numCache>
            </c:numRef>
          </c:xVal>
          <c:yVal>
            <c:numRef>
              <c:f>'ИД и расчеты'!$D$219:$D$220</c:f>
              <c:numCache>
                <c:formatCode>0.00</c:formatCode>
                <c:ptCount val="2"/>
                <c:pt idx="0">
                  <c:v>0.61599999999999999</c:v>
                </c:pt>
                <c:pt idx="1">
                  <c:v>0.92300000000000004</c:v>
                </c:pt>
              </c:numCache>
            </c:numRef>
          </c:yVal>
          <c:smooth val="0"/>
        </c:ser>
        <c:ser>
          <c:idx val="2"/>
          <c:order val="2"/>
          <c:tx>
            <c:v>Mellifera2</c:v>
          </c:tx>
          <c:spPr>
            <a:ln w="38100">
              <a:solidFill>
                <a:srgbClr val="0000FF"/>
              </a:solidFill>
              <a:prstDash val="lgDash"/>
            </a:ln>
          </c:spPr>
          <c:marker>
            <c:symbol val="none"/>
          </c:marker>
          <c:xVal>
            <c:numRef>
              <c:f>'ИД и расчеты'!$E$219:$E$220</c:f>
              <c:numCache>
                <c:formatCode>0.00</c:formatCode>
                <c:ptCount val="2"/>
                <c:pt idx="0">
                  <c:v>0.76</c:v>
                </c:pt>
                <c:pt idx="1">
                  <c:v>2.16</c:v>
                </c:pt>
              </c:numCache>
            </c:numRef>
          </c:xVal>
          <c:yVal>
            <c:numRef>
              <c:f>'ИД и расчеты'!$F$219:$F$220</c:f>
              <c:numCache>
                <c:formatCode>0.00</c:formatCode>
                <c:ptCount val="2"/>
                <c:pt idx="0">
                  <c:v>0.92300000000000004</c:v>
                </c:pt>
                <c:pt idx="1">
                  <c:v>0.92300000000000004</c:v>
                </c:pt>
              </c:numCache>
            </c:numRef>
          </c:yVal>
          <c:smooth val="0"/>
        </c:ser>
        <c:ser>
          <c:idx val="3"/>
          <c:order val="3"/>
          <c:tx>
            <c:v>Mellifera3</c:v>
          </c:tx>
          <c:spPr>
            <a:ln w="38100">
              <a:solidFill>
                <a:srgbClr val="0000FF"/>
              </a:solidFill>
              <a:prstDash val="lgDash"/>
            </a:ln>
          </c:spPr>
          <c:marker>
            <c:symbol val="none"/>
          </c:marker>
          <c:xVal>
            <c:numRef>
              <c:f>'ИД и расчеты'!$G$219:$G$220</c:f>
              <c:numCache>
                <c:formatCode>0.00</c:formatCode>
                <c:ptCount val="2"/>
                <c:pt idx="0">
                  <c:v>2.16</c:v>
                </c:pt>
                <c:pt idx="1">
                  <c:v>2.16</c:v>
                </c:pt>
              </c:numCache>
            </c:numRef>
          </c:xVal>
          <c:yVal>
            <c:numRef>
              <c:f>'ИД и расчеты'!$H$219:$H$220</c:f>
              <c:numCache>
                <c:formatCode>0.00</c:formatCode>
                <c:ptCount val="2"/>
                <c:pt idx="0">
                  <c:v>0.61599999999999999</c:v>
                </c:pt>
                <c:pt idx="1">
                  <c:v>0.92300000000000004</c:v>
                </c:pt>
              </c:numCache>
            </c:numRef>
          </c:yVal>
          <c:smooth val="0"/>
        </c:ser>
        <c:ser>
          <c:idx val="4"/>
          <c:order val="4"/>
          <c:tx>
            <c:v>Mellifera4</c:v>
          </c:tx>
          <c:spPr>
            <a:ln w="38100">
              <a:solidFill>
                <a:srgbClr val="0000FF"/>
              </a:solidFill>
              <a:prstDash val="lgDash"/>
            </a:ln>
          </c:spPr>
          <c:marker>
            <c:symbol val="none"/>
          </c:marker>
          <c:xVal>
            <c:numRef>
              <c:f>'ИД и расчеты'!$I$219:$I$220</c:f>
              <c:numCache>
                <c:formatCode>0.00</c:formatCode>
                <c:ptCount val="2"/>
                <c:pt idx="0">
                  <c:v>0.76</c:v>
                </c:pt>
                <c:pt idx="1">
                  <c:v>2.16</c:v>
                </c:pt>
              </c:numCache>
            </c:numRef>
          </c:xVal>
          <c:yVal>
            <c:numRef>
              <c:f>'ИД и расчеты'!$J$219:$J$220</c:f>
              <c:numCache>
                <c:formatCode>0.00</c:formatCode>
                <c:ptCount val="2"/>
                <c:pt idx="0">
                  <c:v>0.61599999999999999</c:v>
                </c:pt>
                <c:pt idx="1">
                  <c:v>0.61599999999999999</c:v>
                </c:pt>
              </c:numCache>
            </c:numRef>
          </c:yVal>
          <c:smooth val="0"/>
        </c:ser>
        <c:ser>
          <c:idx val="5"/>
          <c:order val="5"/>
          <c:tx>
            <c:v>Caucasica1</c:v>
          </c:tx>
          <c:spPr>
            <a:ln w="38100">
              <a:solidFill>
                <a:srgbClr val="993300"/>
              </a:solidFill>
              <a:prstDash val="lgDash"/>
            </a:ln>
          </c:spPr>
          <c:marker>
            <c:symbol val="none"/>
          </c:marker>
          <c:xVal>
            <c:numRef>
              <c:f>'ИД и расчеты'!$C$221:$C$222</c:f>
              <c:numCache>
                <c:formatCode>0.00</c:formatCode>
                <c:ptCount val="2"/>
                <c:pt idx="0">
                  <c:v>1.73</c:v>
                </c:pt>
                <c:pt idx="1">
                  <c:v>1.73</c:v>
                </c:pt>
              </c:numCache>
            </c:numRef>
          </c:xVal>
          <c:yVal>
            <c:numRef>
              <c:f>'ИД и расчеты'!$D$221:$D$222</c:f>
              <c:numCache>
                <c:formatCode>0.00</c:formatCode>
                <c:ptCount val="2"/>
                <c:pt idx="0">
                  <c:v>0.70399999999999996</c:v>
                </c:pt>
                <c:pt idx="1">
                  <c:v>1.0269999999999999</c:v>
                </c:pt>
              </c:numCache>
            </c:numRef>
          </c:yVal>
          <c:smooth val="0"/>
        </c:ser>
        <c:ser>
          <c:idx val="6"/>
          <c:order val="6"/>
          <c:tx>
            <c:v>Caucasica2</c:v>
          </c:tx>
          <c:spPr>
            <a:ln w="38100">
              <a:solidFill>
                <a:srgbClr val="993300"/>
              </a:solidFill>
              <a:prstDash val="lgDash"/>
            </a:ln>
          </c:spPr>
          <c:marker>
            <c:symbol val="none"/>
          </c:marker>
          <c:xVal>
            <c:numRef>
              <c:f>'ИД и расчеты'!$E$221:$E$222</c:f>
              <c:numCache>
                <c:formatCode>0.00</c:formatCode>
                <c:ptCount val="2"/>
                <c:pt idx="0">
                  <c:v>1.73</c:v>
                </c:pt>
                <c:pt idx="1">
                  <c:v>2.75</c:v>
                </c:pt>
              </c:numCache>
            </c:numRef>
          </c:xVal>
          <c:yVal>
            <c:numRef>
              <c:f>'ИД и расчеты'!$F$221:$F$222</c:f>
              <c:numCache>
                <c:formatCode>0.00</c:formatCode>
                <c:ptCount val="2"/>
                <c:pt idx="0">
                  <c:v>1.0269999999999999</c:v>
                </c:pt>
                <c:pt idx="1">
                  <c:v>1.0269999999999999</c:v>
                </c:pt>
              </c:numCache>
            </c:numRef>
          </c:yVal>
          <c:smooth val="0"/>
        </c:ser>
        <c:ser>
          <c:idx val="7"/>
          <c:order val="7"/>
          <c:tx>
            <c:v>Caucasica3</c:v>
          </c:tx>
          <c:spPr>
            <a:ln w="38100">
              <a:solidFill>
                <a:srgbClr val="993300"/>
              </a:solidFill>
              <a:prstDash val="lgDash"/>
            </a:ln>
          </c:spPr>
          <c:marker>
            <c:symbol val="none"/>
          </c:marker>
          <c:xVal>
            <c:numRef>
              <c:f>'ИД и расчеты'!$G$221:$G$222</c:f>
              <c:numCache>
                <c:formatCode>0.00</c:formatCode>
                <c:ptCount val="2"/>
                <c:pt idx="0">
                  <c:v>2.75</c:v>
                </c:pt>
                <c:pt idx="1">
                  <c:v>2.75</c:v>
                </c:pt>
              </c:numCache>
            </c:numRef>
          </c:xVal>
          <c:yVal>
            <c:numRef>
              <c:f>'ИД и расчеты'!$H$221:$H$222</c:f>
              <c:numCache>
                <c:formatCode>0.00</c:formatCode>
                <c:ptCount val="2"/>
                <c:pt idx="0">
                  <c:v>0.70399999999999996</c:v>
                </c:pt>
                <c:pt idx="1">
                  <c:v>1.0269999999999999</c:v>
                </c:pt>
              </c:numCache>
            </c:numRef>
          </c:yVal>
          <c:smooth val="0"/>
        </c:ser>
        <c:ser>
          <c:idx val="8"/>
          <c:order val="8"/>
          <c:tx>
            <c:v>Caucasica4</c:v>
          </c:tx>
          <c:spPr>
            <a:ln w="38100">
              <a:solidFill>
                <a:srgbClr val="993300"/>
              </a:solidFill>
              <a:prstDash val="lgDash"/>
            </a:ln>
          </c:spPr>
          <c:marker>
            <c:symbol val="none"/>
          </c:marker>
          <c:xVal>
            <c:numRef>
              <c:f>'ИД и расчеты'!$I$221:$I$222</c:f>
              <c:numCache>
                <c:formatCode>0.00</c:formatCode>
                <c:ptCount val="2"/>
                <c:pt idx="0">
                  <c:v>1.73</c:v>
                </c:pt>
                <c:pt idx="1">
                  <c:v>2.75</c:v>
                </c:pt>
              </c:numCache>
            </c:numRef>
          </c:xVal>
          <c:yVal>
            <c:numRef>
              <c:f>'ИД и расчеты'!$J$221:$J$222</c:f>
              <c:numCache>
                <c:formatCode>0.00</c:formatCode>
                <c:ptCount val="2"/>
                <c:pt idx="0">
                  <c:v>0.70399999999999996</c:v>
                </c:pt>
                <c:pt idx="1">
                  <c:v>0.70399999999999996</c:v>
                </c:pt>
              </c:numCache>
            </c:numRef>
          </c:yVal>
          <c:smooth val="0"/>
        </c:ser>
        <c:ser>
          <c:idx val="9"/>
          <c:order val="9"/>
          <c:tx>
            <c:v>Ligustica1</c:v>
          </c:tx>
          <c:spPr>
            <a:ln w="38100">
              <a:solidFill>
                <a:srgbClr val="FFCC00"/>
              </a:solidFill>
              <a:prstDash val="lgDash"/>
            </a:ln>
          </c:spPr>
          <c:marker>
            <c:symbol val="none"/>
          </c:marker>
          <c:xVal>
            <c:numRef>
              <c:f>'ИД и расчеты'!$C$223:$C$224</c:f>
              <c:numCache>
                <c:formatCode>0.00</c:formatCode>
                <c:ptCount val="2"/>
                <c:pt idx="0">
                  <c:v>2</c:v>
                </c:pt>
                <c:pt idx="1">
                  <c:v>2</c:v>
                </c:pt>
              </c:numCache>
            </c:numRef>
          </c:xVal>
          <c:yVal>
            <c:numRef>
              <c:f>'ИД и расчеты'!$D$223:$D$224</c:f>
              <c:numCache>
                <c:formatCode>0.00</c:formatCode>
                <c:ptCount val="2"/>
                <c:pt idx="0">
                  <c:v>0.92300000000000004</c:v>
                </c:pt>
                <c:pt idx="1">
                  <c:v>1.206</c:v>
                </c:pt>
              </c:numCache>
            </c:numRef>
          </c:yVal>
          <c:smooth val="0"/>
        </c:ser>
        <c:ser>
          <c:idx val="10"/>
          <c:order val="10"/>
          <c:tx>
            <c:v>Ligustica2</c:v>
          </c:tx>
          <c:spPr>
            <a:ln w="38100">
              <a:solidFill>
                <a:srgbClr val="FFCC00"/>
              </a:solidFill>
              <a:prstDash val="lgDash"/>
            </a:ln>
          </c:spPr>
          <c:marker>
            <c:symbol val="none"/>
          </c:marker>
          <c:xVal>
            <c:numRef>
              <c:f>'ИД и расчеты'!$E$223:$E$224</c:f>
              <c:numCache>
                <c:formatCode>0.00</c:formatCode>
                <c:ptCount val="2"/>
                <c:pt idx="0">
                  <c:v>2</c:v>
                </c:pt>
                <c:pt idx="1">
                  <c:v>3.29</c:v>
                </c:pt>
              </c:numCache>
            </c:numRef>
          </c:xVal>
          <c:yVal>
            <c:numRef>
              <c:f>'ИД и расчеты'!$F$223:$F$224</c:f>
              <c:numCache>
                <c:formatCode>0.00</c:formatCode>
                <c:ptCount val="2"/>
                <c:pt idx="0">
                  <c:v>1.206</c:v>
                </c:pt>
                <c:pt idx="1">
                  <c:v>1.206</c:v>
                </c:pt>
              </c:numCache>
            </c:numRef>
          </c:yVal>
          <c:smooth val="0"/>
        </c:ser>
        <c:ser>
          <c:idx val="11"/>
          <c:order val="11"/>
          <c:tx>
            <c:v>Ligustica3</c:v>
          </c:tx>
          <c:spPr>
            <a:ln w="38100">
              <a:solidFill>
                <a:srgbClr val="FFCC00"/>
              </a:solidFill>
              <a:prstDash val="lgDash"/>
            </a:ln>
          </c:spPr>
          <c:marker>
            <c:symbol val="none"/>
          </c:marker>
          <c:xVal>
            <c:numRef>
              <c:f>'ИД и расчеты'!$G$223:$G$224</c:f>
              <c:numCache>
                <c:formatCode>0.00</c:formatCode>
                <c:ptCount val="2"/>
                <c:pt idx="0">
                  <c:v>3.29</c:v>
                </c:pt>
                <c:pt idx="1">
                  <c:v>3.29</c:v>
                </c:pt>
              </c:numCache>
            </c:numRef>
          </c:xVal>
          <c:yVal>
            <c:numRef>
              <c:f>'ИД и расчеты'!$H$223:$H$224</c:f>
              <c:numCache>
                <c:formatCode>0.00</c:formatCode>
                <c:ptCount val="2"/>
                <c:pt idx="0">
                  <c:v>0.92300000000000004</c:v>
                </c:pt>
                <c:pt idx="1">
                  <c:v>1.206</c:v>
                </c:pt>
              </c:numCache>
            </c:numRef>
          </c:yVal>
          <c:smooth val="0"/>
        </c:ser>
        <c:ser>
          <c:idx val="12"/>
          <c:order val="12"/>
          <c:tx>
            <c:v>Ligustica4</c:v>
          </c:tx>
          <c:spPr>
            <a:ln w="38100">
              <a:solidFill>
                <a:srgbClr val="FFCC00"/>
              </a:solidFill>
              <a:prstDash val="lgDash"/>
            </a:ln>
          </c:spPr>
          <c:marker>
            <c:symbol val="none"/>
          </c:marker>
          <c:xVal>
            <c:numRef>
              <c:f>'ИД и расчеты'!$I$223:$I$224</c:f>
              <c:numCache>
                <c:formatCode>0.00</c:formatCode>
                <c:ptCount val="2"/>
                <c:pt idx="0">
                  <c:v>2</c:v>
                </c:pt>
                <c:pt idx="1">
                  <c:v>3.29</c:v>
                </c:pt>
              </c:numCache>
            </c:numRef>
          </c:xVal>
          <c:yVal>
            <c:numRef>
              <c:f>'ИД и расчеты'!$J$223:$J$224</c:f>
              <c:numCache>
                <c:formatCode>0.00</c:formatCode>
                <c:ptCount val="2"/>
                <c:pt idx="0">
                  <c:v>0.92300000000000004</c:v>
                </c:pt>
                <c:pt idx="1">
                  <c:v>0.92300000000000004</c:v>
                </c:pt>
              </c:numCache>
            </c:numRef>
          </c:yVal>
          <c:smooth val="0"/>
        </c:ser>
        <c:ser>
          <c:idx val="13"/>
          <c:order val="13"/>
          <c:tx>
            <c:v>Carnica1</c:v>
          </c:tx>
          <c:spPr>
            <a:ln w="38100">
              <a:solidFill>
                <a:srgbClr val="008000"/>
              </a:solidFill>
              <a:prstDash val="lgDash"/>
            </a:ln>
          </c:spPr>
          <c:marker>
            <c:symbol val="none"/>
          </c:marker>
          <c:xVal>
            <c:numRef>
              <c:f>'ИД и расчеты'!$C$225:$C$226</c:f>
              <c:numCache>
                <c:formatCode>0.00</c:formatCode>
                <c:ptCount val="2"/>
                <c:pt idx="0">
                  <c:v>2.16</c:v>
                </c:pt>
                <c:pt idx="1">
                  <c:v>2.16</c:v>
                </c:pt>
              </c:numCache>
            </c:numRef>
          </c:xVal>
          <c:yVal>
            <c:numRef>
              <c:f>'ИД и расчеты'!$D$225:$D$226</c:f>
              <c:numCache>
                <c:formatCode>0.00</c:formatCode>
                <c:ptCount val="2"/>
                <c:pt idx="0">
                  <c:v>0.92300000000000004</c:v>
                </c:pt>
                <c:pt idx="1">
                  <c:v>1.42</c:v>
                </c:pt>
              </c:numCache>
            </c:numRef>
          </c:yVal>
          <c:smooth val="0"/>
        </c:ser>
        <c:ser>
          <c:idx val="14"/>
          <c:order val="14"/>
          <c:tx>
            <c:v>Carnica2</c:v>
          </c:tx>
          <c:spPr>
            <a:ln w="38100">
              <a:solidFill>
                <a:srgbClr val="008000"/>
              </a:solidFill>
              <a:prstDash val="lgDash"/>
            </a:ln>
          </c:spPr>
          <c:marker>
            <c:symbol val="none"/>
          </c:marker>
          <c:xVal>
            <c:numRef>
              <c:f>'ИД и расчеты'!$E$225:$E$226</c:f>
              <c:numCache>
                <c:formatCode>0.00</c:formatCode>
                <c:ptCount val="2"/>
                <c:pt idx="0">
                  <c:v>2.16</c:v>
                </c:pt>
                <c:pt idx="1">
                  <c:v>5.67</c:v>
                </c:pt>
              </c:numCache>
            </c:numRef>
          </c:xVal>
          <c:yVal>
            <c:numRef>
              <c:f>'ИД и расчеты'!$F$225:$F$226</c:f>
              <c:numCache>
                <c:formatCode>0.00</c:formatCode>
                <c:ptCount val="2"/>
                <c:pt idx="0">
                  <c:v>1.42</c:v>
                </c:pt>
                <c:pt idx="1">
                  <c:v>1.42</c:v>
                </c:pt>
              </c:numCache>
            </c:numRef>
          </c:yVal>
          <c:smooth val="0"/>
        </c:ser>
        <c:ser>
          <c:idx val="15"/>
          <c:order val="15"/>
          <c:tx>
            <c:v>Carnica3</c:v>
          </c:tx>
          <c:spPr>
            <a:ln w="38100">
              <a:solidFill>
                <a:srgbClr val="008000"/>
              </a:solidFill>
              <a:prstDash val="lgDash"/>
            </a:ln>
          </c:spPr>
          <c:marker>
            <c:symbol val="none"/>
          </c:marker>
          <c:xVal>
            <c:numRef>
              <c:f>'ИД и расчеты'!$G$225:$G$226</c:f>
              <c:numCache>
                <c:formatCode>0.00</c:formatCode>
                <c:ptCount val="2"/>
                <c:pt idx="0">
                  <c:v>5.67</c:v>
                </c:pt>
                <c:pt idx="1">
                  <c:v>5.67</c:v>
                </c:pt>
              </c:numCache>
            </c:numRef>
          </c:xVal>
          <c:yVal>
            <c:numRef>
              <c:f>'ИД и расчеты'!$H$225:$H$226</c:f>
              <c:numCache>
                <c:formatCode>0.00</c:formatCode>
                <c:ptCount val="2"/>
                <c:pt idx="0">
                  <c:v>0.92300000000000004</c:v>
                </c:pt>
                <c:pt idx="1">
                  <c:v>1.42</c:v>
                </c:pt>
              </c:numCache>
            </c:numRef>
          </c:yVal>
          <c:smooth val="0"/>
        </c:ser>
        <c:ser>
          <c:idx val="16"/>
          <c:order val="16"/>
          <c:tx>
            <c:v>Carnica4</c:v>
          </c:tx>
          <c:spPr>
            <a:ln w="38100">
              <a:solidFill>
                <a:srgbClr val="008000"/>
              </a:solidFill>
              <a:prstDash val="lgDash"/>
            </a:ln>
          </c:spPr>
          <c:marker>
            <c:symbol val="none"/>
          </c:marker>
          <c:xVal>
            <c:numRef>
              <c:f>'ИД и расчеты'!$I$225:$I$226</c:f>
              <c:numCache>
                <c:formatCode>0.00</c:formatCode>
                <c:ptCount val="2"/>
                <c:pt idx="0">
                  <c:v>2.16</c:v>
                </c:pt>
                <c:pt idx="1">
                  <c:v>5.67</c:v>
                </c:pt>
              </c:numCache>
            </c:numRef>
          </c:xVal>
          <c:yVal>
            <c:numRef>
              <c:f>'ИД и расчеты'!$J$225:$J$226</c:f>
              <c:numCache>
                <c:formatCode>0.00</c:formatCode>
                <c:ptCount val="2"/>
                <c:pt idx="0">
                  <c:v>0.92300000000000004</c:v>
                </c:pt>
                <c:pt idx="1">
                  <c:v>0.92300000000000004</c:v>
                </c:pt>
              </c:numCache>
            </c:numRef>
          </c:yVal>
          <c:smooth val="0"/>
        </c:ser>
        <c:ser>
          <c:idx val="17"/>
          <c:order val="17"/>
          <c:tx>
            <c:v>Doverit1</c:v>
          </c:tx>
          <c:spPr>
            <a:ln w="38100">
              <a:solidFill>
                <a:srgbClr val="FF0000"/>
              </a:solidFill>
              <a:prstDash val="solid"/>
            </a:ln>
          </c:spPr>
          <c:marker>
            <c:symbol val="none"/>
          </c:marker>
          <c:xVal>
            <c:numRef>
              <c:f>'ИД и расчеты'!$C$227:$C$228</c:f>
              <c:numCache>
                <c:formatCode>0.00</c:formatCode>
                <c:ptCount val="2"/>
                <c:pt idx="0">
                  <c:v>1.2029073916946968</c:v>
                </c:pt>
                <c:pt idx="1">
                  <c:v>1.2029073916946968</c:v>
                </c:pt>
              </c:numCache>
            </c:numRef>
          </c:xVal>
          <c:yVal>
            <c:numRef>
              <c:f>'ИД и расчеты'!$D$227:$D$228</c:f>
              <c:numCache>
                <c:formatCode>0.00</c:formatCode>
                <c:ptCount val="2"/>
                <c:pt idx="0">
                  <c:v>0.67878097687763495</c:v>
                </c:pt>
                <c:pt idx="1">
                  <c:v>0.83166097687763485</c:v>
                </c:pt>
              </c:numCache>
            </c:numRef>
          </c:yVal>
          <c:smooth val="0"/>
        </c:ser>
        <c:ser>
          <c:idx val="18"/>
          <c:order val="18"/>
          <c:tx>
            <c:v>Doverit2</c:v>
          </c:tx>
          <c:spPr>
            <a:ln w="38100">
              <a:solidFill>
                <a:srgbClr val="FF0000"/>
              </a:solidFill>
              <a:prstDash val="solid"/>
            </a:ln>
          </c:spPr>
          <c:marker>
            <c:symbol val="none"/>
          </c:marker>
          <c:xVal>
            <c:numRef>
              <c:f>'ИД и расчеты'!$E$227:$E$228</c:f>
              <c:numCache>
                <c:formatCode>0.00</c:formatCode>
                <c:ptCount val="2"/>
                <c:pt idx="0">
                  <c:v>1.2029073916946968</c:v>
                </c:pt>
                <c:pt idx="1">
                  <c:v>1.9673073916946966</c:v>
                </c:pt>
              </c:numCache>
            </c:numRef>
          </c:xVal>
          <c:yVal>
            <c:numRef>
              <c:f>'ИД и расчеты'!$F$227:$F$228</c:f>
              <c:numCache>
                <c:formatCode>0.00</c:formatCode>
                <c:ptCount val="2"/>
                <c:pt idx="0">
                  <c:v>0.83166097687763485</c:v>
                </c:pt>
                <c:pt idx="1">
                  <c:v>0.83166097687763485</c:v>
                </c:pt>
              </c:numCache>
            </c:numRef>
          </c:yVal>
          <c:smooth val="0"/>
        </c:ser>
        <c:ser>
          <c:idx val="19"/>
          <c:order val="19"/>
          <c:tx>
            <c:v>Doverit3</c:v>
          </c:tx>
          <c:spPr>
            <a:ln w="38100">
              <a:solidFill>
                <a:srgbClr val="FF0000"/>
              </a:solidFill>
              <a:prstDash val="solid"/>
            </a:ln>
          </c:spPr>
          <c:marker>
            <c:symbol val="none"/>
          </c:marker>
          <c:xVal>
            <c:numRef>
              <c:f>'ИД и расчеты'!$G$227:$G$228</c:f>
              <c:numCache>
                <c:formatCode>0.00</c:formatCode>
                <c:ptCount val="2"/>
                <c:pt idx="0">
                  <c:v>1.9673073916946966</c:v>
                </c:pt>
                <c:pt idx="1">
                  <c:v>1.9673073916946966</c:v>
                </c:pt>
              </c:numCache>
            </c:numRef>
          </c:xVal>
          <c:yVal>
            <c:numRef>
              <c:f>'ИД и расчеты'!$H$227:$H$228</c:f>
              <c:numCache>
                <c:formatCode>0.00</c:formatCode>
                <c:ptCount val="2"/>
                <c:pt idx="0">
                  <c:v>0.67878097687763495</c:v>
                </c:pt>
                <c:pt idx="1">
                  <c:v>0.83166097687763485</c:v>
                </c:pt>
              </c:numCache>
            </c:numRef>
          </c:yVal>
          <c:smooth val="0"/>
        </c:ser>
        <c:ser>
          <c:idx val="20"/>
          <c:order val="20"/>
          <c:tx>
            <c:v>Doverit4</c:v>
          </c:tx>
          <c:spPr>
            <a:ln w="38100">
              <a:solidFill>
                <a:srgbClr val="FF0000"/>
              </a:solidFill>
              <a:prstDash val="solid"/>
            </a:ln>
          </c:spPr>
          <c:marker>
            <c:symbol val="none"/>
          </c:marker>
          <c:xVal>
            <c:numRef>
              <c:f>'ИД и расчеты'!$I$227:$I$228</c:f>
              <c:numCache>
                <c:formatCode>0.00</c:formatCode>
                <c:ptCount val="2"/>
                <c:pt idx="0">
                  <c:v>1.2029073916946968</c:v>
                </c:pt>
                <c:pt idx="1">
                  <c:v>1.9673073916946966</c:v>
                </c:pt>
              </c:numCache>
            </c:numRef>
          </c:xVal>
          <c:yVal>
            <c:numRef>
              <c:f>'ИД и расчеты'!$J$227:$J$228</c:f>
              <c:numCache>
                <c:formatCode>0.00</c:formatCode>
                <c:ptCount val="2"/>
                <c:pt idx="0">
                  <c:v>0.67878097687763495</c:v>
                </c:pt>
                <c:pt idx="1">
                  <c:v>0.67878097687763495</c:v>
                </c:pt>
              </c:numCache>
            </c:numRef>
          </c:yVal>
          <c:smooth val="0"/>
        </c:ser>
        <c:dLbls>
          <c:showLegendKey val="0"/>
          <c:showVal val="0"/>
          <c:showCatName val="0"/>
          <c:showSerName val="0"/>
          <c:showPercent val="0"/>
          <c:showBubbleSize val="0"/>
        </c:dLbls>
        <c:axId val="575897368"/>
        <c:axId val="575897760"/>
      </c:scatterChart>
      <c:valAx>
        <c:axId val="575897368"/>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6154033096290326"/>
              <c:y val="0.87731767342031886"/>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5897760"/>
        <c:crosses val="autoZero"/>
        <c:crossBetween val="midCat"/>
        <c:majorUnit val="0.5"/>
      </c:valAx>
      <c:valAx>
        <c:axId val="575897760"/>
        <c:scaling>
          <c:orientation val="minMax"/>
          <c:max val="1.5"/>
          <c:min val="0.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Hi</a:t>
                </a:r>
              </a:p>
            </c:rich>
          </c:tx>
          <c:layout>
            <c:manualLayout>
              <c:xMode val="edge"/>
              <c:yMode val="edge"/>
              <c:x val="3.4188034188034191E-2"/>
              <c:y val="1.6203729929442273E-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5897368"/>
        <c:crosses val="autoZero"/>
        <c:crossBetween val="midCat"/>
        <c:majorUnit val="0.1"/>
        <c:minorUnit val="0.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4. Распределение </a:t>
            </a:r>
            <a:r>
              <a:rPr lang="en-US"/>
              <a:t>DsA / HI</a:t>
            </a:r>
          </a:p>
        </c:rich>
      </c:tx>
      <c:layout>
        <c:manualLayout>
          <c:xMode val="edge"/>
          <c:yMode val="edge"/>
          <c:x val="0.34330559107462"/>
          <c:y val="1.6241349372437434E-2"/>
        </c:manualLayout>
      </c:layout>
      <c:overlay val="0"/>
      <c:spPr>
        <a:noFill/>
        <a:ln w="25400">
          <a:noFill/>
        </a:ln>
      </c:spPr>
    </c:title>
    <c:autoTitleDeleted val="0"/>
    <c:plotArea>
      <c:layout>
        <c:manualLayout>
          <c:layoutTarget val="inner"/>
          <c:xMode val="edge"/>
          <c:yMode val="edge"/>
          <c:x val="5.2706653522926396E-2"/>
          <c:y val="0.10208842728003711"/>
          <c:w val="0.88889058914340746"/>
          <c:h val="0.85847086576394838"/>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Индексы!$D$2:$D$102</c:f>
              <c:numCache>
                <c:formatCode>0.000</c:formatCode>
                <c:ptCount val="101"/>
                <c:pt idx="0">
                  <c:v>0.75126183776853661</c:v>
                </c:pt>
                <c:pt idx="1">
                  <c:v>0.76455909290929758</c:v>
                </c:pt>
                <c:pt idx="2">
                  <c:v>0.79374193977580476</c:v>
                </c:pt>
                <c:pt idx="3">
                  <c:v>0.78752269410526632</c:v>
                </c:pt>
                <c:pt idx="4">
                  <c:v>0.69248655536243242</c:v>
                </c:pt>
                <c:pt idx="5">
                  <c:v>0.79753126125719653</c:v>
                </c:pt>
                <c:pt idx="6">
                  <c:v>0.76355889681606737</c:v>
                </c:pt>
                <c:pt idx="7">
                  <c:v>0.79825071663242375</c:v>
                </c:pt>
                <c:pt idx="8">
                  <c:v>0.74317772191581455</c:v>
                </c:pt>
                <c:pt idx="9">
                  <c:v>0.69820645691262306</c:v>
                </c:pt>
                <c:pt idx="10">
                  <c:v>0.71058773995579638</c:v>
                </c:pt>
                <c:pt idx="11">
                  <c:v>0.72175546395700618</c:v>
                </c:pt>
                <c:pt idx="12">
                  <c:v>0.79523232204098837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0.7552209768776349</c:v>
                </c:pt>
              </c:numCache>
            </c:numRef>
          </c:xVal>
          <c:yVal>
            <c:numRef>
              <c:f>Индексы!$C$2:$C$102</c:f>
              <c:numCache>
                <c:formatCode>0.000</c:formatCode>
                <c:ptCount val="101"/>
                <c:pt idx="0">
                  <c:v>-6.0972685603672714</c:v>
                </c:pt>
                <c:pt idx="1">
                  <c:v>-4.5918000285289304</c:v>
                </c:pt>
                <c:pt idx="2">
                  <c:v>-5.3578309042592949</c:v>
                </c:pt>
                <c:pt idx="3">
                  <c:v>-4.5662338573358321</c:v>
                </c:pt>
                <c:pt idx="4">
                  <c:v>-6.7662494691723944</c:v>
                </c:pt>
                <c:pt idx="5">
                  <c:v>-3.5362210490716239</c:v>
                </c:pt>
                <c:pt idx="6">
                  <c:v>-7.5607166044152434</c:v>
                </c:pt>
                <c:pt idx="7">
                  <c:v>-5.1130694092178013</c:v>
                </c:pt>
                <c:pt idx="8">
                  <c:v>-4.9647254738924893</c:v>
                </c:pt>
                <c:pt idx="9">
                  <c:v>-7.0644883472284175</c:v>
                </c:pt>
                <c:pt idx="10">
                  <c:v>-4.6863161785884637</c:v>
                </c:pt>
                <c:pt idx="11">
                  <c:v>-4.6137907530132942</c:v>
                </c:pt>
                <c:pt idx="12">
                  <c:v>-3.5402492600072959</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-5.2660738380844894</c:v>
                </c:pt>
              </c:numCache>
            </c:numRef>
          </c:yVal>
          <c:smooth val="0"/>
        </c:ser>
        <c:ser>
          <c:idx val="1"/>
          <c:order val="1"/>
          <c:tx>
            <c:v>Mellifera1</c:v>
          </c:tx>
          <c:spPr>
            <a:ln w="38100">
              <a:solidFill>
                <a:srgbClr val="0000FF"/>
              </a:solidFill>
              <a:prstDash val="lgDash"/>
            </a:ln>
          </c:spPr>
          <c:marker>
            <c:symbol val="none"/>
          </c:marker>
          <c:xVal>
            <c:numRef>
              <c:f>'ИД и расчеты'!$C$229:$C$230</c:f>
              <c:numCache>
                <c:formatCode>0.00</c:formatCode>
                <c:ptCount val="2"/>
                <c:pt idx="0">
                  <c:v>0.61599999999999999</c:v>
                </c:pt>
                <c:pt idx="1">
                  <c:v>0.61599999999999999</c:v>
                </c:pt>
              </c:numCache>
            </c:numRef>
          </c:xVal>
          <c:yVal>
            <c:numRef>
              <c:f>'ИД и расчеты'!$D$229:$D$230</c:f>
              <c:numCache>
                <c:formatCode>0.00</c:formatCode>
                <c:ptCount val="2"/>
                <c:pt idx="0">
                  <c:v>-15.31</c:v>
                </c:pt>
                <c:pt idx="1">
                  <c:v>0</c:v>
                </c:pt>
              </c:numCache>
            </c:numRef>
          </c:yVal>
          <c:smooth val="0"/>
        </c:ser>
        <c:ser>
          <c:idx val="2"/>
          <c:order val="2"/>
          <c:tx>
            <c:v>Mellifera2</c:v>
          </c:tx>
          <c:spPr>
            <a:ln w="38100">
              <a:solidFill>
                <a:srgbClr val="0000FF"/>
              </a:solidFill>
              <a:prstDash val="lgDash"/>
            </a:ln>
          </c:spPr>
          <c:marker>
            <c:symbol val="none"/>
          </c:marker>
          <c:xVal>
            <c:numRef>
              <c:f>'ИД и расчеты'!$E$229:$E$230</c:f>
              <c:numCache>
                <c:formatCode>0.00</c:formatCode>
                <c:ptCount val="2"/>
                <c:pt idx="0">
                  <c:v>0.61599999999999999</c:v>
                </c:pt>
                <c:pt idx="1">
                  <c:v>0.92300000000000004</c:v>
                </c:pt>
              </c:numCache>
            </c:numRef>
          </c:xVal>
          <c:yVal>
            <c:numRef>
              <c:f>'ИД и расчеты'!$F$229:$F$230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xVal>
            <c:numRef>
              <c:f>'ИД и расчеты'!$G$229:$G$230</c:f>
              <c:numCache>
                <c:formatCode>0.00</c:formatCode>
                <c:ptCount val="2"/>
                <c:pt idx="0">
                  <c:v>0.92300000000000004</c:v>
                </c:pt>
                <c:pt idx="1">
                  <c:v>0.92300000000000004</c:v>
                </c:pt>
              </c:numCache>
            </c:numRef>
          </c:xVal>
          <c:yVal>
            <c:numRef>
              <c:f>'ИД и расчеты'!$H$229:$H$230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расчеты'!$I$229:$I$230</c:f>
              <c:numCache>
                <c:formatCode>0.00</c:formatCode>
                <c:ptCount val="2"/>
                <c:pt idx="0">
                  <c:v>0.61599999999999999</c:v>
                </c:pt>
                <c:pt idx="1">
                  <c:v>0.92300000000000004</c:v>
                </c:pt>
              </c:numCache>
            </c:numRef>
          </c:xVal>
          <c:yVal>
            <c:numRef>
              <c:f>'ИД и расчеты'!$J$229:$J$230</c:f>
              <c:numCache>
                <c:formatCode>0.00</c:formatCode>
                <c:ptCount val="2"/>
                <c:pt idx="0">
                  <c:v>-15.31</c:v>
                </c:pt>
                <c:pt idx="1">
                  <c:v>-15.31</c:v>
                </c:pt>
              </c:numCache>
            </c:numRef>
          </c:yVal>
          <c:smooth val="0"/>
        </c:ser>
        <c:ser>
          <c:idx val="5"/>
          <c:order val="5"/>
          <c:tx>
            <c:v>Caucasica1</c:v>
          </c:tx>
          <c:spPr>
            <a:ln w="38100">
              <a:solidFill>
                <a:srgbClr val="993300"/>
              </a:solidFill>
              <a:prstDash val="lgDash"/>
            </a:ln>
          </c:spPr>
          <c:marker>
            <c:symbol val="none"/>
          </c:marker>
          <c:xVal>
            <c:numRef>
              <c:f>'ИД и расчеты'!$C$231:$C$232</c:f>
              <c:numCache>
                <c:formatCode>0.00</c:formatCode>
                <c:ptCount val="2"/>
                <c:pt idx="0">
                  <c:v>0.70399999999999996</c:v>
                </c:pt>
                <c:pt idx="1">
                  <c:v>0.70399999999999996</c:v>
                </c:pt>
              </c:numCache>
            </c:numRef>
          </c:xVal>
          <c:yVal>
            <c:numRef>
              <c:f>'ИД и расчеты'!$D$231:$D$232</c:f>
              <c:numCache>
                <c:formatCode>0.00</c:formatCode>
                <c:ptCount val="2"/>
                <c:pt idx="0">
                  <c:v>-2.84</c:v>
                </c:pt>
                <c:pt idx="1">
                  <c:v>2.84</c:v>
                </c:pt>
              </c:numCache>
            </c:numRef>
          </c:yVal>
          <c:smooth val="0"/>
        </c:ser>
        <c:ser>
          <c:idx val="6"/>
          <c:order val="6"/>
          <c:tx>
            <c:v>Caucasica2</c:v>
          </c:tx>
          <c:spPr>
            <a:ln w="38100">
              <a:solidFill>
                <a:srgbClr val="993300"/>
              </a:solidFill>
              <a:prstDash val="lgDash"/>
            </a:ln>
          </c:spPr>
          <c:marker>
            <c:symbol val="none"/>
          </c:marker>
          <c:xVal>
            <c:numRef>
              <c:f>'ИД и расчеты'!$E$231:$E$232</c:f>
              <c:numCache>
                <c:formatCode>0.00</c:formatCode>
                <c:ptCount val="2"/>
                <c:pt idx="0">
                  <c:v>0.70399999999999996</c:v>
                </c:pt>
                <c:pt idx="1">
                  <c:v>1.0269999999999999</c:v>
                </c:pt>
              </c:numCache>
            </c:numRef>
          </c:xVal>
          <c:yVal>
            <c:numRef>
              <c:f>'ИД и расчеты'!$F$231:$F$232</c:f>
              <c:numCache>
                <c:formatCode>0.00</c:formatCode>
                <c:ptCount val="2"/>
                <c:pt idx="0">
                  <c:v>2.84</c:v>
                </c:pt>
                <c:pt idx="1">
                  <c:v>2.84</c:v>
                </c:pt>
              </c:numCache>
            </c:numRef>
          </c:yVal>
          <c:smooth val="0"/>
        </c:ser>
        <c:ser>
          <c:idx val="7"/>
          <c:order val="7"/>
          <c:tx>
            <c:v>Caucasica3</c:v>
          </c:tx>
          <c:spPr>
            <a:ln w="38100">
              <a:solidFill>
                <a:srgbClr val="993300"/>
              </a:solidFill>
              <a:prstDash val="lgDash"/>
            </a:ln>
          </c:spPr>
          <c:marker>
            <c:symbol val="none"/>
          </c:marker>
          <c:xVal>
            <c:numRef>
              <c:f>'ИД и расчеты'!$G$231:$G$232</c:f>
              <c:numCache>
                <c:formatCode>0.00</c:formatCode>
                <c:ptCount val="2"/>
                <c:pt idx="0">
                  <c:v>1.0269999999999999</c:v>
                </c:pt>
                <c:pt idx="1">
                  <c:v>1.0269999999999999</c:v>
                </c:pt>
              </c:numCache>
            </c:numRef>
          </c:xVal>
          <c:yVal>
            <c:numRef>
              <c:f>'ИД и расчеты'!$H$231:$H$232</c:f>
              <c:numCache>
                <c:formatCode>0.00</c:formatCode>
                <c:ptCount val="2"/>
                <c:pt idx="0">
                  <c:v>-2.84</c:v>
                </c:pt>
                <c:pt idx="1">
                  <c:v>2.84</c:v>
                </c:pt>
              </c:numCache>
            </c:numRef>
          </c:yVal>
          <c:smooth val="0"/>
        </c:ser>
        <c:ser>
          <c:idx val="8"/>
          <c:order val="8"/>
          <c:tx>
            <c:v>Caucasica4</c:v>
          </c:tx>
          <c:spPr>
            <a:ln w="38100">
              <a:solidFill>
                <a:srgbClr val="993300"/>
              </a:solidFill>
              <a:prstDash val="lgDash"/>
            </a:ln>
          </c:spPr>
          <c:marker>
            <c:symbol val="none"/>
          </c:marker>
          <c:xVal>
            <c:numRef>
              <c:f>'ИД и расчеты'!$I$231:$I$232</c:f>
              <c:numCache>
                <c:formatCode>0.00</c:formatCode>
                <c:ptCount val="2"/>
                <c:pt idx="0">
                  <c:v>0.70399999999999996</c:v>
                </c:pt>
                <c:pt idx="1">
                  <c:v>1.0269999999999999</c:v>
                </c:pt>
              </c:numCache>
            </c:numRef>
          </c:xVal>
          <c:yVal>
            <c:numRef>
              <c:f>'ИД и расчеты'!$J$231:$J$232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расчеты'!$C$233:$C$234</c:f>
              <c:numCache>
                <c:formatCode>0.00</c:formatCode>
                <c:ptCount val="2"/>
                <c:pt idx="0">
                  <c:v>0.92300000000000004</c:v>
                </c:pt>
                <c:pt idx="1">
                  <c:v>0.92300000000000004</c:v>
                </c:pt>
              </c:numCache>
            </c:numRef>
          </c:xVal>
          <c:yVal>
            <c:numRef>
              <c:f>'ИД и расчеты'!$D$233:$D$234</c:f>
              <c:numCache>
                <c:formatCode>0.00</c:formatCode>
                <c:ptCount val="2"/>
                <c:pt idx="0">
                  <c:v>0</c:v>
                </c:pt>
                <c:pt idx="1">
                  <c:v>4.7300000000000004</c:v>
                </c:pt>
              </c:numCache>
            </c:numRef>
          </c:yVal>
          <c:smooth val="0"/>
        </c:ser>
        <c:ser>
          <c:idx val="10"/>
          <c:order val="10"/>
          <c:tx>
            <c:v>Ligustica2</c:v>
          </c:tx>
          <c:spPr>
            <a:ln w="38100">
              <a:solidFill>
                <a:srgbClr val="FFCC00"/>
              </a:solidFill>
              <a:prstDash val="lgDash"/>
            </a:ln>
          </c:spPr>
          <c:marker>
            <c:symbol val="none"/>
          </c:marker>
          <c:xVal>
            <c:numRef>
              <c:f>'ИД и расчеты'!$E$233:$E$234</c:f>
              <c:numCache>
                <c:formatCode>0.00</c:formatCode>
                <c:ptCount val="2"/>
                <c:pt idx="0">
                  <c:v>0.92300000000000004</c:v>
                </c:pt>
                <c:pt idx="1">
                  <c:v>1.206</c:v>
                </c:pt>
              </c:numCache>
            </c:numRef>
          </c:xVal>
          <c:yVal>
            <c:numRef>
              <c:f>'ИД и расчеты'!$F$233:$F$234</c:f>
              <c:numCache>
                <c:formatCode>0.00</c:formatCode>
                <c:ptCount val="2"/>
                <c:pt idx="0">
                  <c:v>4.7300000000000004</c:v>
                </c:pt>
                <c:pt idx="1">
                  <c:v>4.7300000000000004</c:v>
                </c:pt>
              </c:numCache>
            </c:numRef>
          </c:yVal>
          <c:smooth val="0"/>
        </c:ser>
        <c:ser>
          <c:idx val="11"/>
          <c:order val="11"/>
          <c:tx>
            <c:v>Ligustica3</c:v>
          </c:tx>
          <c:spPr>
            <a:ln w="38100">
              <a:solidFill>
                <a:srgbClr val="FFCC00"/>
              </a:solidFill>
              <a:prstDash val="lgDash"/>
            </a:ln>
          </c:spPr>
          <c:marker>
            <c:symbol val="none"/>
          </c:marker>
          <c:xVal>
            <c:numRef>
              <c:f>'ИД и расчеты'!$G$233:$G$234</c:f>
              <c:numCache>
                <c:formatCode>0.00</c:formatCode>
                <c:ptCount val="2"/>
                <c:pt idx="0">
                  <c:v>1.206</c:v>
                </c:pt>
                <c:pt idx="1">
                  <c:v>1.206</c:v>
                </c:pt>
              </c:numCache>
            </c:numRef>
          </c:xVal>
          <c:yVal>
            <c:numRef>
              <c:f>'ИД и расчеты'!$H$233:$H$234</c:f>
              <c:numCache>
                <c:formatCode>0.00</c:formatCode>
                <c:ptCount val="2"/>
                <c:pt idx="0">
                  <c:v>0</c:v>
                </c:pt>
                <c:pt idx="1">
                  <c:v>4.7300000000000004</c:v>
                </c:pt>
              </c:numCache>
            </c:numRef>
          </c:yVal>
          <c:smooth val="0"/>
        </c:ser>
        <c:ser>
          <c:idx val="12"/>
          <c:order val="12"/>
          <c:tx>
            <c:v>Ligustica4</c:v>
          </c:tx>
          <c:spPr>
            <a:ln w="38100">
              <a:solidFill>
                <a:srgbClr val="FFCC00"/>
              </a:solidFill>
              <a:prstDash val="lgDash"/>
            </a:ln>
          </c:spPr>
          <c:marker>
            <c:symbol val="none"/>
          </c:marker>
          <c:xVal>
            <c:numRef>
              <c:f>'ИД и расчеты'!$I$233:$I$234</c:f>
              <c:numCache>
                <c:formatCode>0.00</c:formatCode>
                <c:ptCount val="2"/>
                <c:pt idx="0">
                  <c:v>0.92300000000000004</c:v>
                </c:pt>
                <c:pt idx="1">
                  <c:v>1.206</c:v>
                </c:pt>
              </c:numCache>
            </c:numRef>
          </c:xVal>
          <c:yVal>
            <c:numRef>
              <c:f>'ИД и расчеты'!$J$233:$J$234</c:f>
              <c:numCache>
                <c:formatCode>0.00</c:formatCode>
                <c:ptCount val="2"/>
                <c:pt idx="0">
                  <c:v>0</c:v>
                </c:pt>
                <c:pt idx="1">
                  <c:v>0</c:v>
                </c:pt>
              </c:numCache>
            </c:numRef>
          </c:yVal>
          <c:smooth val="0"/>
        </c:ser>
        <c:ser>
          <c:idx val="13"/>
          <c:order val="13"/>
          <c:tx>
            <c:v>Carnica1</c:v>
          </c:tx>
          <c:spPr>
            <a:ln w="38100">
              <a:solidFill>
                <a:srgbClr val="008000"/>
              </a:solidFill>
              <a:prstDash val="lgDash"/>
            </a:ln>
          </c:spPr>
          <c:marker>
            <c:symbol val="none"/>
          </c:marker>
          <c:xVal>
            <c:numRef>
              <c:f>'ИД и расчеты'!$C$235:$C$236</c:f>
              <c:numCache>
                <c:formatCode>0.00</c:formatCode>
                <c:ptCount val="2"/>
                <c:pt idx="0">
                  <c:v>0.92300000000000004</c:v>
                </c:pt>
                <c:pt idx="1">
                  <c:v>0.92300000000000004</c:v>
                </c:pt>
              </c:numCache>
            </c:numRef>
          </c:xVal>
          <c:yVal>
            <c:numRef>
              <c:f>'ИД и расчеты'!$D$235:$D$236</c:f>
              <c:numCache>
                <c:formatCode>0.00</c:formatCode>
                <c:ptCount val="2"/>
                <c:pt idx="0">
                  <c:v>0</c:v>
                </c:pt>
                <c:pt idx="1">
                  <c:v>12.39</c:v>
                </c:pt>
              </c:numCache>
            </c:numRef>
          </c:yVal>
          <c:smooth val="0"/>
        </c:ser>
        <c:ser>
          <c:idx val="14"/>
          <c:order val="14"/>
          <c:tx>
            <c:v>Carnica2</c:v>
          </c:tx>
          <c:spPr>
            <a:ln w="38100">
              <a:solidFill>
                <a:srgbClr val="008000"/>
              </a:solidFill>
              <a:prstDash val="lgDash"/>
            </a:ln>
          </c:spPr>
          <c:marker>
            <c:symbol val="none"/>
          </c:marker>
          <c:xVal>
            <c:numRef>
              <c:f>'ИД и расчеты'!$E$235:$E$236</c:f>
              <c:numCache>
                <c:formatCode>0.00</c:formatCode>
                <c:ptCount val="2"/>
                <c:pt idx="0">
                  <c:v>0.92300000000000004</c:v>
                </c:pt>
                <c:pt idx="1">
                  <c:v>1.42</c:v>
                </c:pt>
              </c:numCache>
            </c:numRef>
          </c:xVal>
          <c:yVal>
            <c:numRef>
              <c:f>'ИД и расчеты'!$F$235:$F$236</c:f>
              <c:numCache>
                <c:formatCode>0.00</c:formatCode>
                <c:ptCount val="2"/>
                <c:pt idx="0">
                  <c:v>12.39</c:v>
                </c:pt>
                <c:pt idx="1">
                  <c:v>12.39</c:v>
                </c:pt>
              </c:numCache>
            </c:numRef>
          </c:yVal>
          <c:smooth val="0"/>
        </c:ser>
        <c:ser>
          <c:idx val="15"/>
          <c:order val="15"/>
          <c:tx>
            <c:v>Carnica3</c:v>
          </c:tx>
          <c:spPr>
            <a:ln w="38100">
              <a:solidFill>
                <a:srgbClr val="008000"/>
              </a:solidFill>
              <a:prstDash val="lgDash"/>
            </a:ln>
          </c:spPr>
          <c:marker>
            <c:symbol val="none"/>
          </c:marker>
          <c:xVal>
            <c:numRef>
              <c:f>'ИД и расчеты'!$G$235:$G$236</c:f>
              <c:numCache>
                <c:formatCode>0.00</c:formatCode>
                <c:ptCount val="2"/>
                <c:pt idx="0">
                  <c:v>1.42</c:v>
                </c:pt>
                <c:pt idx="1">
                  <c:v>1.42</c:v>
                </c:pt>
              </c:numCache>
            </c:numRef>
          </c:xVal>
          <c:yVal>
            <c:numRef>
              <c:f>'ИД и расчеты'!$H$235:$H$236</c:f>
              <c:numCache>
                <c:formatCode>0.00</c:formatCode>
                <c:ptCount val="2"/>
                <c:pt idx="0">
                  <c:v>0</c:v>
                </c:pt>
                <c:pt idx="1">
                  <c:v>12.39</c:v>
                </c:pt>
              </c:numCache>
            </c:numRef>
          </c:yVal>
          <c:smooth val="0"/>
        </c:ser>
        <c:ser>
          <c:idx val="16"/>
          <c:order val="16"/>
          <c:tx>
            <c:v>Carnica4</c:v>
          </c:tx>
          <c:spPr>
            <a:ln w="38100">
              <a:solidFill>
                <a:srgbClr val="008000"/>
              </a:solidFill>
              <a:prstDash val="lgDash"/>
            </a:ln>
          </c:spPr>
          <c:marker>
            <c:symbol val="none"/>
          </c:marker>
          <c:xVal>
            <c:numRef>
              <c:f>'ИД и расчеты'!$I$235:$I$236</c:f>
              <c:numCache>
                <c:formatCode>0.00</c:formatCode>
                <c:ptCount val="2"/>
                <c:pt idx="0">
                  <c:v>0.92300000000000004</c:v>
                </c:pt>
                <c:pt idx="1">
                  <c:v>1.42</c:v>
                </c:pt>
              </c:numCache>
            </c:numRef>
          </c:xVal>
          <c:yVal>
            <c:numRef>
              <c:f>'ИД и расчеты'!$J$235:$J$236</c:f>
              <c:numCache>
                <c:formatCode>0.00</c:formatCode>
                <c:ptCount val="2"/>
                <c:pt idx="0">
                  <c:v>0</c:v>
                </c:pt>
                <c:pt idx="1">
                  <c:v>0</c:v>
                </c:pt>
              </c:numCache>
            </c:numRef>
          </c:yVal>
          <c:smooth val="0"/>
        </c:ser>
        <c:ser>
          <c:idx val="17"/>
          <c:order val="17"/>
          <c:tx>
            <c:v>Doverit1</c:v>
          </c:tx>
          <c:spPr>
            <a:ln w="38100">
              <a:solidFill>
                <a:srgbClr val="FF0000"/>
              </a:solidFill>
              <a:prstDash val="solid"/>
            </a:ln>
          </c:spPr>
          <c:marker>
            <c:symbol val="none"/>
          </c:marker>
          <c:xVal>
            <c:numRef>
              <c:f>'ИД и расчеты'!$C$237:$C$238</c:f>
              <c:numCache>
                <c:formatCode>0.00</c:formatCode>
                <c:ptCount val="2"/>
                <c:pt idx="0">
                  <c:v>0.67878097687763495</c:v>
                </c:pt>
                <c:pt idx="1">
                  <c:v>0.67878097687763495</c:v>
                </c:pt>
              </c:numCache>
            </c:numRef>
          </c:xVal>
          <c:yVal>
            <c:numRef>
              <c:f>'ИД и расчеты'!$D$237:$D$238</c:f>
              <c:numCache>
                <c:formatCode>0.00</c:formatCode>
                <c:ptCount val="2"/>
                <c:pt idx="0">
                  <c:v>-7.7474338380844898</c:v>
                </c:pt>
                <c:pt idx="1">
                  <c:v>-2.7847138380844894</c:v>
                </c:pt>
              </c:numCache>
            </c:numRef>
          </c:yVal>
          <c:smooth val="0"/>
        </c:ser>
        <c:ser>
          <c:idx val="18"/>
          <c:order val="18"/>
          <c:tx>
            <c:v>Doverit2</c:v>
          </c:tx>
          <c:spPr>
            <a:ln w="38100">
              <a:solidFill>
                <a:srgbClr val="FF0000"/>
              </a:solidFill>
              <a:prstDash val="solid"/>
            </a:ln>
          </c:spPr>
          <c:marker>
            <c:symbol val="none"/>
          </c:marker>
          <c:xVal>
            <c:numRef>
              <c:f>'ИД и расчеты'!$E$237:$E$238</c:f>
              <c:numCache>
                <c:formatCode>0.00</c:formatCode>
                <c:ptCount val="2"/>
                <c:pt idx="0">
                  <c:v>0.67878097687763495</c:v>
                </c:pt>
                <c:pt idx="1">
                  <c:v>0.83166097687763485</c:v>
                </c:pt>
              </c:numCache>
            </c:numRef>
          </c:xVal>
          <c:yVal>
            <c:numRef>
              <c:f>'ИД и расчеты'!$F$237:$F$238</c:f>
              <c:numCache>
                <c:formatCode>0.00</c:formatCode>
                <c:ptCount val="2"/>
                <c:pt idx="0">
                  <c:v>-2.7847138380844894</c:v>
                </c:pt>
                <c:pt idx="1">
                  <c:v>-2.7847138380844894</c:v>
                </c:pt>
              </c:numCache>
            </c:numRef>
          </c:yVal>
          <c:smooth val="0"/>
        </c:ser>
        <c:ser>
          <c:idx val="19"/>
          <c:order val="19"/>
          <c:tx>
            <c:v>Doverit3</c:v>
          </c:tx>
          <c:spPr>
            <a:ln w="38100">
              <a:solidFill>
                <a:srgbClr val="FF0000"/>
              </a:solidFill>
              <a:prstDash val="solid"/>
            </a:ln>
          </c:spPr>
          <c:marker>
            <c:symbol val="none"/>
          </c:marker>
          <c:xVal>
            <c:numRef>
              <c:f>'ИД и расчеты'!$G$237:$G$238</c:f>
              <c:numCache>
                <c:formatCode>0.00</c:formatCode>
                <c:ptCount val="2"/>
                <c:pt idx="0">
                  <c:v>0.83166097687763485</c:v>
                </c:pt>
                <c:pt idx="1">
                  <c:v>0.83166097687763485</c:v>
                </c:pt>
              </c:numCache>
            </c:numRef>
          </c:xVal>
          <c:yVal>
            <c:numRef>
              <c:f>'ИД и расчеты'!$H$237:$H$238</c:f>
              <c:numCache>
                <c:formatCode>0.00</c:formatCode>
                <c:ptCount val="2"/>
                <c:pt idx="0">
                  <c:v>-7.7474338380844898</c:v>
                </c:pt>
                <c:pt idx="1">
                  <c:v>-2.7847138380844894</c:v>
                </c:pt>
              </c:numCache>
            </c:numRef>
          </c:yVal>
          <c:smooth val="0"/>
        </c:ser>
        <c:ser>
          <c:idx val="20"/>
          <c:order val="20"/>
          <c:tx>
            <c:v>Doverit4</c:v>
          </c:tx>
          <c:spPr>
            <a:ln w="38100">
              <a:solidFill>
                <a:srgbClr val="FF0000"/>
              </a:solidFill>
              <a:prstDash val="solid"/>
            </a:ln>
          </c:spPr>
          <c:marker>
            <c:symbol val="none"/>
          </c:marker>
          <c:xVal>
            <c:numRef>
              <c:f>'ИД и расчеты'!$I$237:$I$238</c:f>
              <c:numCache>
                <c:formatCode>0.00</c:formatCode>
                <c:ptCount val="2"/>
                <c:pt idx="0">
                  <c:v>0.67878097687763495</c:v>
                </c:pt>
                <c:pt idx="1">
                  <c:v>0.83166097687763485</c:v>
                </c:pt>
              </c:numCache>
            </c:numRef>
          </c:xVal>
          <c:yVal>
            <c:numRef>
              <c:f>'ИД и расчеты'!$J$237:$J$238</c:f>
              <c:numCache>
                <c:formatCode>0.00</c:formatCode>
                <c:ptCount val="2"/>
                <c:pt idx="0">
                  <c:v>-7.7474338380844898</c:v>
                </c:pt>
                <c:pt idx="1">
                  <c:v>-7.7474338380844898</c:v>
                </c:pt>
              </c:numCache>
            </c:numRef>
          </c:yVal>
          <c:smooth val="0"/>
        </c:ser>
        <c:dLbls>
          <c:showLegendKey val="0"/>
          <c:showVal val="0"/>
          <c:showCatName val="0"/>
          <c:showSerName val="0"/>
          <c:showPercent val="0"/>
          <c:showBubbleSize val="0"/>
        </c:dLbls>
        <c:axId val="575898544"/>
        <c:axId val="578838120"/>
      </c:scatterChart>
      <c:valAx>
        <c:axId val="575898544"/>
        <c:scaling>
          <c:orientation val="minMax"/>
          <c:max val="1.5"/>
          <c:min val="0.6"/>
        </c:scaling>
        <c:delete val="0"/>
        <c:axPos val="b"/>
        <c:title>
          <c:tx>
            <c:rich>
              <a:bodyPr/>
              <a:lstStyle/>
              <a:p>
                <a:pPr>
                  <a:defRPr sz="900" b="1" i="0" u="none" strike="noStrike" baseline="0">
                    <a:solidFill>
                      <a:srgbClr val="000000"/>
                    </a:solidFill>
                    <a:latin typeface="Arial Cyr"/>
                    <a:ea typeface="Arial Cyr"/>
                    <a:cs typeface="Arial Cyr"/>
                  </a:defRPr>
                </a:pPr>
                <a:r>
                  <a:rPr lang="de-DE"/>
                  <a:t>HI</a:t>
                </a:r>
              </a:p>
            </c:rich>
          </c:tx>
          <c:layout>
            <c:manualLayout>
              <c:xMode val="edge"/>
              <c:yMode val="edge"/>
              <c:x val="0.96011582953840169"/>
              <c:y val="0.5011612793142731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8838120"/>
        <c:crosses val="autoZero"/>
        <c:crossBetween val="midCat"/>
        <c:majorUnit val="0.1"/>
        <c:minorUnit val="0.05"/>
      </c:valAx>
      <c:valAx>
        <c:axId val="578838120"/>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3.7037037037037035E-2"/>
              <c:y val="1.6241349372437434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5898544"/>
        <c:crosses val="autoZero"/>
        <c:crossBetween val="midCat"/>
        <c:majorUnit val="2"/>
        <c:minorUnit val="0.5"/>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2. Распределение </a:t>
            </a:r>
            <a:r>
              <a:rPr lang="en-US"/>
              <a:t>DsA / CI</a:t>
            </a:r>
          </a:p>
        </c:rich>
      </c:tx>
      <c:layout>
        <c:manualLayout>
          <c:xMode val="edge"/>
          <c:yMode val="edge"/>
          <c:x val="0.34330559743861799"/>
          <c:y val="1.6241098447780069E-2"/>
        </c:manualLayout>
      </c:layout>
      <c:overlay val="0"/>
      <c:spPr>
        <a:noFill/>
        <a:ln w="25400">
          <a:noFill/>
        </a:ln>
      </c:spPr>
    </c:title>
    <c:autoTitleDeleted val="0"/>
    <c:plotArea>
      <c:layout>
        <c:manualLayout>
          <c:layoutTarget val="inner"/>
          <c:xMode val="edge"/>
          <c:yMode val="edge"/>
          <c:x val="5.2706653522926396E-2"/>
          <c:y val="9.7448044221853589E-2"/>
          <c:w val="0.88461707669560241"/>
          <c:h val="0.86311124882213186"/>
        </c:manualLayout>
      </c:layout>
      <c:scatterChart>
        <c:scatterStyle val="lineMarker"/>
        <c:varyColors val="0"/>
        <c:ser>
          <c:idx val="0"/>
          <c:order val="0"/>
          <c:tx>
            <c:strRef>
              <c:f>Индексы!$C$1</c:f>
              <c:strCache>
                <c:ptCount val="1"/>
                <c:pt idx="0">
                  <c:v>DsA</c:v>
                </c:pt>
              </c:strCache>
            </c:strRef>
          </c:tx>
          <c:spPr>
            <a:ln w="19050">
              <a:noFill/>
            </a:ln>
          </c:spPr>
          <c:marker>
            <c:symbol val="circle"/>
            <c:size val="3"/>
            <c:spPr>
              <a:solidFill>
                <a:srgbClr val="800000"/>
              </a:solidFill>
              <a:ln>
                <a:solidFill>
                  <a:srgbClr val="800000"/>
                </a:solidFill>
                <a:prstDash val="solid"/>
              </a:ln>
            </c:spPr>
          </c:marker>
          <c:dPt>
            <c:idx val="100"/>
            <c:marker>
              <c:symbol val="diamond"/>
              <c:size val="5"/>
              <c:spPr>
                <a:solidFill>
                  <a:srgbClr val="0000FF"/>
                </a:solidFill>
                <a:ln>
                  <a:solidFill>
                    <a:srgbClr val="0000FF"/>
                  </a:solidFill>
                  <a:prstDash val="solid"/>
                </a:ln>
              </c:spPr>
            </c:marker>
            <c:bubble3D val="0"/>
          </c:dPt>
          <c:xVal>
            <c:numRef>
              <c:f>Индексы!$B$2:$B$102</c:f>
              <c:numCache>
                <c:formatCode>0.000</c:formatCode>
                <c:ptCount val="101"/>
                <c:pt idx="0">
                  <c:v>1.5282767625015314</c:v>
                </c:pt>
                <c:pt idx="1">
                  <c:v>1.9164555202344393</c:v>
                </c:pt>
                <c:pt idx="2">
                  <c:v>1.6440810344746601</c:v>
                </c:pt>
                <c:pt idx="3">
                  <c:v>1.9920147757720568</c:v>
                </c:pt>
                <c:pt idx="4">
                  <c:v>1.4109272143878087</c:v>
                </c:pt>
                <c:pt idx="5">
                  <c:v>1.5483148380786116</c:v>
                </c:pt>
                <c:pt idx="6">
                  <c:v>1.663250547532251</c:v>
                </c:pt>
                <c:pt idx="7">
                  <c:v>1.6113729101070193</c:v>
                </c:pt>
                <c:pt idx="8">
                  <c:v>1.3612874354651794</c:v>
                </c:pt>
                <c:pt idx="9">
                  <c:v>1.5079561080918844</c:v>
                </c:pt>
                <c:pt idx="10">
                  <c:v>1.5252636058549101</c:v>
                </c:pt>
                <c:pt idx="11">
                  <c:v>1.3078050972936459</c:v>
                </c:pt>
                <c:pt idx="12">
                  <c:v>1.5893902422370587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1.5851073916946967</c:v>
                </c:pt>
              </c:numCache>
            </c:numRef>
          </c:xVal>
          <c:yVal>
            <c:numRef>
              <c:f>Индексы!$C$2:$C$102</c:f>
              <c:numCache>
                <c:formatCode>0.000</c:formatCode>
                <c:ptCount val="101"/>
                <c:pt idx="0">
                  <c:v>-6.0972685603672714</c:v>
                </c:pt>
                <c:pt idx="1">
                  <c:v>-4.5918000285289304</c:v>
                </c:pt>
                <c:pt idx="2">
                  <c:v>-5.3578309042592949</c:v>
                </c:pt>
                <c:pt idx="3">
                  <c:v>-4.5662338573358321</c:v>
                </c:pt>
                <c:pt idx="4">
                  <c:v>-6.7662494691723944</c:v>
                </c:pt>
                <c:pt idx="5">
                  <c:v>-3.5362210490716239</c:v>
                </c:pt>
                <c:pt idx="6">
                  <c:v>-7.5607166044152434</c:v>
                </c:pt>
                <c:pt idx="7">
                  <c:v>-5.1130694092178013</c:v>
                </c:pt>
                <c:pt idx="8">
                  <c:v>-4.9647254738924893</c:v>
                </c:pt>
                <c:pt idx="9">
                  <c:v>-7.0644883472284175</c:v>
                </c:pt>
                <c:pt idx="10">
                  <c:v>-4.6863161785884637</c:v>
                </c:pt>
                <c:pt idx="11">
                  <c:v>-4.6137907530132942</c:v>
                </c:pt>
                <c:pt idx="12">
                  <c:v>-3.5402492600072959</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-5.2660738380844894</c:v>
                </c:pt>
              </c:numCache>
            </c:numRef>
          </c:yVal>
          <c:smooth val="0"/>
        </c:ser>
        <c:ser>
          <c:idx val="1"/>
          <c:order val="1"/>
          <c:tx>
            <c:v>Mellifera1</c:v>
          </c:tx>
          <c:spPr>
            <a:ln w="38100">
              <a:solidFill>
                <a:srgbClr val="0000FF"/>
              </a:solidFill>
              <a:prstDash val="lgDash"/>
            </a:ln>
          </c:spPr>
          <c:marker>
            <c:symbol val="none"/>
          </c:marker>
          <c:xVal>
            <c:numRef>
              <c:f>'ИД и расчеты'!$C$209:$C$210</c:f>
              <c:numCache>
                <c:formatCode>0.00</c:formatCode>
                <c:ptCount val="2"/>
                <c:pt idx="0">
                  <c:v>0.76</c:v>
                </c:pt>
                <c:pt idx="1">
                  <c:v>0.76</c:v>
                </c:pt>
              </c:numCache>
            </c:numRef>
          </c:xVal>
          <c:yVal>
            <c:numRef>
              <c:f>'ИД и расчеты'!$D$209:$D$210</c:f>
              <c:numCache>
                <c:formatCode>0.00</c:formatCode>
                <c:ptCount val="2"/>
                <c:pt idx="0">
                  <c:v>-15.31</c:v>
                </c:pt>
                <c:pt idx="1">
                  <c:v>0</c:v>
                </c:pt>
              </c:numCache>
            </c:numRef>
          </c:yVal>
          <c:smooth val="0"/>
        </c:ser>
        <c:ser>
          <c:idx val="2"/>
          <c:order val="2"/>
          <c:tx>
            <c:v>Mellifera2</c:v>
          </c:tx>
          <c:spPr>
            <a:ln w="38100">
              <a:solidFill>
                <a:srgbClr val="3366FF"/>
              </a:solidFill>
              <a:prstDash val="lgDash"/>
            </a:ln>
          </c:spPr>
          <c:marker>
            <c:symbol val="none"/>
          </c:marker>
          <c:xVal>
            <c:numRef>
              <c:f>'ИД и расчеты'!$E$209:$E$210</c:f>
              <c:numCache>
                <c:formatCode>0.00</c:formatCode>
                <c:ptCount val="2"/>
                <c:pt idx="0">
                  <c:v>0.76</c:v>
                </c:pt>
                <c:pt idx="1">
                  <c:v>2.16</c:v>
                </c:pt>
              </c:numCache>
            </c:numRef>
          </c:xVal>
          <c:yVal>
            <c:numRef>
              <c:f>'ИД и расчеты'!$F$209:$F$210</c:f>
              <c:numCache>
                <c:formatCode>0.00</c:formatCode>
                <c:ptCount val="2"/>
                <c:pt idx="0">
                  <c:v>0</c:v>
                </c:pt>
                <c:pt idx="1">
                  <c:v>0</c:v>
                </c:pt>
              </c:numCache>
            </c:numRef>
          </c:yVal>
          <c:smooth val="0"/>
        </c:ser>
        <c:ser>
          <c:idx val="3"/>
          <c:order val="3"/>
          <c:tx>
            <c:v>Mellifera3</c:v>
          </c:tx>
          <c:spPr>
            <a:ln w="38100">
              <a:solidFill>
                <a:srgbClr val="0000FF"/>
              </a:solidFill>
              <a:prstDash val="lgDash"/>
            </a:ln>
          </c:spPr>
          <c:marker>
            <c:symbol val="none"/>
          </c:marker>
          <c:trendline>
            <c:spPr>
              <a:ln w="25400">
                <a:solidFill>
                  <a:srgbClr val="000000"/>
                </a:solidFill>
                <a:prstDash val="solid"/>
              </a:ln>
            </c:spPr>
            <c:trendlineType val="linear"/>
            <c:dispRSqr val="0"/>
            <c:dispEq val="0"/>
          </c:trendline>
          <c:xVal>
            <c:numRef>
              <c:f>'ИД и расчеты'!$G$209:$G$210</c:f>
              <c:numCache>
                <c:formatCode>0.00</c:formatCode>
                <c:ptCount val="2"/>
                <c:pt idx="0">
                  <c:v>2.16</c:v>
                </c:pt>
                <c:pt idx="1">
                  <c:v>2.16</c:v>
                </c:pt>
              </c:numCache>
            </c:numRef>
          </c:xVal>
          <c:yVal>
            <c:numRef>
              <c:f>'ИД и расчеты'!$H$209:$H$210</c:f>
              <c:numCache>
                <c:formatCode>0.00</c:formatCode>
                <c:ptCount val="2"/>
                <c:pt idx="0">
                  <c:v>-15.31</c:v>
                </c:pt>
                <c:pt idx="1">
                  <c:v>0</c:v>
                </c:pt>
              </c:numCache>
            </c:numRef>
          </c:yVal>
          <c:smooth val="0"/>
        </c:ser>
        <c:ser>
          <c:idx val="4"/>
          <c:order val="4"/>
          <c:tx>
            <c:v>Mellifera4</c:v>
          </c:tx>
          <c:spPr>
            <a:ln w="38100">
              <a:solidFill>
                <a:srgbClr val="0000FF"/>
              </a:solidFill>
              <a:prstDash val="lgDash"/>
            </a:ln>
          </c:spPr>
          <c:marker>
            <c:symbol val="none"/>
          </c:marker>
          <c:xVal>
            <c:numRef>
              <c:f>'ИД и расчеты'!$I$209:$I$210</c:f>
              <c:numCache>
                <c:formatCode>0.00</c:formatCode>
                <c:ptCount val="2"/>
                <c:pt idx="0">
                  <c:v>0.76</c:v>
                </c:pt>
                <c:pt idx="1">
                  <c:v>2.16</c:v>
                </c:pt>
              </c:numCache>
            </c:numRef>
          </c:xVal>
          <c:yVal>
            <c:numRef>
              <c:f>'ИД и расчеты'!$J$209:$J$210</c:f>
              <c:numCache>
                <c:formatCode>0.00</c:formatCode>
                <c:ptCount val="2"/>
                <c:pt idx="0">
                  <c:v>-15.31</c:v>
                </c:pt>
                <c:pt idx="1">
                  <c:v>-15.31</c:v>
                </c:pt>
              </c:numCache>
            </c:numRef>
          </c:yVal>
          <c:smooth val="0"/>
        </c:ser>
        <c:ser>
          <c:idx val="5"/>
          <c:order val="5"/>
          <c:tx>
            <c:v>Caucasika1</c:v>
          </c:tx>
          <c:spPr>
            <a:ln w="38100">
              <a:solidFill>
                <a:srgbClr val="993300"/>
              </a:solidFill>
              <a:prstDash val="lgDash"/>
            </a:ln>
          </c:spPr>
          <c:marker>
            <c:symbol val="none"/>
          </c:marker>
          <c:xVal>
            <c:numRef>
              <c:f>'ИД и расчеты'!$C$211:$C$212</c:f>
              <c:numCache>
                <c:formatCode>0.00</c:formatCode>
                <c:ptCount val="2"/>
                <c:pt idx="0">
                  <c:v>1.73</c:v>
                </c:pt>
                <c:pt idx="1">
                  <c:v>1.73</c:v>
                </c:pt>
              </c:numCache>
            </c:numRef>
          </c:xVal>
          <c:yVal>
            <c:numRef>
              <c:f>'ИД и расчеты'!$D$211:$D$212</c:f>
              <c:numCache>
                <c:formatCode>0.00</c:formatCode>
                <c:ptCount val="2"/>
                <c:pt idx="0">
                  <c:v>-2.84</c:v>
                </c:pt>
                <c:pt idx="1">
                  <c:v>2.84</c:v>
                </c:pt>
              </c:numCache>
            </c:numRef>
          </c:yVal>
          <c:smooth val="0"/>
        </c:ser>
        <c:ser>
          <c:idx val="6"/>
          <c:order val="6"/>
          <c:tx>
            <c:v>Caucasika2</c:v>
          </c:tx>
          <c:spPr>
            <a:ln w="38100">
              <a:solidFill>
                <a:srgbClr val="993300"/>
              </a:solidFill>
              <a:prstDash val="lgDash"/>
            </a:ln>
          </c:spPr>
          <c:marker>
            <c:symbol val="none"/>
          </c:marker>
          <c:xVal>
            <c:numRef>
              <c:f>'ИД и расчеты'!$E$211:$E$212</c:f>
              <c:numCache>
                <c:formatCode>0.00</c:formatCode>
                <c:ptCount val="2"/>
                <c:pt idx="0">
                  <c:v>1.73</c:v>
                </c:pt>
                <c:pt idx="1">
                  <c:v>2.75</c:v>
                </c:pt>
              </c:numCache>
            </c:numRef>
          </c:xVal>
          <c:yVal>
            <c:numRef>
              <c:f>'ИД и расчеты'!$F$211:$F$212</c:f>
              <c:numCache>
                <c:formatCode>0.00</c:formatCode>
                <c:ptCount val="2"/>
                <c:pt idx="0">
                  <c:v>2.84</c:v>
                </c:pt>
                <c:pt idx="1">
                  <c:v>2.84</c:v>
                </c:pt>
              </c:numCache>
            </c:numRef>
          </c:yVal>
          <c:smooth val="0"/>
        </c:ser>
        <c:ser>
          <c:idx val="7"/>
          <c:order val="7"/>
          <c:tx>
            <c:v>Caucasika3</c:v>
          </c:tx>
          <c:spPr>
            <a:ln w="38100">
              <a:solidFill>
                <a:srgbClr val="993300"/>
              </a:solidFill>
              <a:prstDash val="lgDash"/>
            </a:ln>
          </c:spPr>
          <c:marker>
            <c:symbol val="none"/>
          </c:marker>
          <c:xVal>
            <c:numRef>
              <c:f>'ИД и расчеты'!$G$211:$G$212</c:f>
              <c:numCache>
                <c:formatCode>0.00</c:formatCode>
                <c:ptCount val="2"/>
                <c:pt idx="0">
                  <c:v>2.75</c:v>
                </c:pt>
                <c:pt idx="1">
                  <c:v>2.75</c:v>
                </c:pt>
              </c:numCache>
            </c:numRef>
          </c:xVal>
          <c:yVal>
            <c:numRef>
              <c:f>'ИД и расчеты'!$H$211:$H$212</c:f>
              <c:numCache>
                <c:formatCode>0.00</c:formatCode>
                <c:ptCount val="2"/>
                <c:pt idx="0">
                  <c:v>-2.84</c:v>
                </c:pt>
                <c:pt idx="1">
                  <c:v>2.84</c:v>
                </c:pt>
              </c:numCache>
            </c:numRef>
          </c:yVal>
          <c:smooth val="0"/>
        </c:ser>
        <c:ser>
          <c:idx val="8"/>
          <c:order val="8"/>
          <c:tx>
            <c:v>Caucasika4</c:v>
          </c:tx>
          <c:spPr>
            <a:ln w="38100">
              <a:solidFill>
                <a:srgbClr val="993300"/>
              </a:solidFill>
              <a:prstDash val="lgDash"/>
            </a:ln>
          </c:spPr>
          <c:marker>
            <c:symbol val="none"/>
          </c:marker>
          <c:xVal>
            <c:numRef>
              <c:f>'ИД и расчеты'!$I$211:$I$212</c:f>
              <c:numCache>
                <c:formatCode>0.00</c:formatCode>
                <c:ptCount val="2"/>
                <c:pt idx="0">
                  <c:v>1.73</c:v>
                </c:pt>
                <c:pt idx="1">
                  <c:v>2.75</c:v>
                </c:pt>
              </c:numCache>
            </c:numRef>
          </c:xVal>
          <c:yVal>
            <c:numRef>
              <c:f>'ИД и расчеты'!$J$211:$J$212</c:f>
              <c:numCache>
                <c:formatCode>0.00</c:formatCode>
                <c:ptCount val="2"/>
                <c:pt idx="0">
                  <c:v>-2.84</c:v>
                </c:pt>
                <c:pt idx="1">
                  <c:v>-2.84</c:v>
                </c:pt>
              </c:numCache>
            </c:numRef>
          </c:yVal>
          <c:smooth val="0"/>
        </c:ser>
        <c:ser>
          <c:idx val="9"/>
          <c:order val="9"/>
          <c:tx>
            <c:v>Ligustica1</c:v>
          </c:tx>
          <c:spPr>
            <a:ln w="38100">
              <a:solidFill>
                <a:srgbClr val="FFCC00"/>
              </a:solidFill>
              <a:prstDash val="lgDash"/>
            </a:ln>
          </c:spPr>
          <c:marker>
            <c:symbol val="none"/>
          </c:marker>
          <c:xVal>
            <c:numRef>
              <c:f>'ИД и расчеты'!$C$213:$C$214</c:f>
              <c:numCache>
                <c:formatCode>0.00</c:formatCode>
                <c:ptCount val="2"/>
                <c:pt idx="0">
                  <c:v>2</c:v>
                </c:pt>
                <c:pt idx="1">
                  <c:v>2</c:v>
                </c:pt>
              </c:numCache>
            </c:numRef>
          </c:xVal>
          <c:yVal>
            <c:numRef>
              <c:f>'ИД и расчеты'!$D$213:$D$214</c:f>
              <c:numCache>
                <c:formatCode>0.00</c:formatCode>
                <c:ptCount val="2"/>
                <c:pt idx="0">
                  <c:v>0</c:v>
                </c:pt>
                <c:pt idx="1">
                  <c:v>4.7300000000000004</c:v>
                </c:pt>
              </c:numCache>
            </c:numRef>
          </c:yVal>
          <c:smooth val="0"/>
        </c:ser>
        <c:ser>
          <c:idx val="11"/>
          <c:order val="10"/>
          <c:tx>
            <c:v>Ligustica2</c:v>
          </c:tx>
          <c:spPr>
            <a:ln w="38100">
              <a:solidFill>
                <a:srgbClr val="FFCC00"/>
              </a:solidFill>
              <a:prstDash val="lgDash"/>
            </a:ln>
          </c:spPr>
          <c:marker>
            <c:symbol val="none"/>
          </c:marker>
          <c:xVal>
            <c:numRef>
              <c:f>'ИД и расчеты'!$E$213:$E$214</c:f>
              <c:numCache>
                <c:formatCode>0.00</c:formatCode>
                <c:ptCount val="2"/>
                <c:pt idx="0">
                  <c:v>2</c:v>
                </c:pt>
                <c:pt idx="1">
                  <c:v>3.29</c:v>
                </c:pt>
              </c:numCache>
            </c:numRef>
          </c:xVal>
          <c:yVal>
            <c:numRef>
              <c:f>'ИД и расчеты'!$F$213:$F$214</c:f>
              <c:numCache>
                <c:formatCode>0.00</c:formatCode>
                <c:ptCount val="2"/>
                <c:pt idx="0">
                  <c:v>4.7300000000000004</c:v>
                </c:pt>
                <c:pt idx="1">
                  <c:v>4.7300000000000004</c:v>
                </c:pt>
              </c:numCache>
            </c:numRef>
          </c:yVal>
          <c:smooth val="0"/>
        </c:ser>
        <c:ser>
          <c:idx val="12"/>
          <c:order val="11"/>
          <c:tx>
            <c:v>Ligustica3</c:v>
          </c:tx>
          <c:spPr>
            <a:ln w="38100">
              <a:solidFill>
                <a:srgbClr val="FFCC00"/>
              </a:solidFill>
              <a:prstDash val="lgDash"/>
            </a:ln>
          </c:spPr>
          <c:marker>
            <c:symbol val="none"/>
          </c:marker>
          <c:xVal>
            <c:numRef>
              <c:f>'ИД и расчеты'!$G$213:$G$214</c:f>
              <c:numCache>
                <c:formatCode>0.00</c:formatCode>
                <c:ptCount val="2"/>
                <c:pt idx="0">
                  <c:v>3.29</c:v>
                </c:pt>
                <c:pt idx="1">
                  <c:v>3.29</c:v>
                </c:pt>
              </c:numCache>
            </c:numRef>
          </c:xVal>
          <c:yVal>
            <c:numRef>
              <c:f>'ИД и расчеты'!$H$213:$H$214</c:f>
              <c:numCache>
                <c:formatCode>0.00</c:formatCode>
                <c:ptCount val="2"/>
                <c:pt idx="0">
                  <c:v>0</c:v>
                </c:pt>
                <c:pt idx="1">
                  <c:v>4.7300000000000004</c:v>
                </c:pt>
              </c:numCache>
            </c:numRef>
          </c:yVal>
          <c:smooth val="0"/>
        </c:ser>
        <c:ser>
          <c:idx val="13"/>
          <c:order val="12"/>
          <c:tx>
            <c:v>Ligustica4</c:v>
          </c:tx>
          <c:spPr>
            <a:ln w="38100">
              <a:solidFill>
                <a:srgbClr val="FFCC00"/>
              </a:solidFill>
              <a:prstDash val="lgDash"/>
            </a:ln>
          </c:spPr>
          <c:marker>
            <c:symbol val="none"/>
          </c:marker>
          <c:xVal>
            <c:numRef>
              <c:f>'ИД и расчеты'!$I$213:$I$214</c:f>
              <c:numCache>
                <c:formatCode>0.00</c:formatCode>
                <c:ptCount val="2"/>
                <c:pt idx="0">
                  <c:v>2</c:v>
                </c:pt>
                <c:pt idx="1">
                  <c:v>3.29</c:v>
                </c:pt>
              </c:numCache>
            </c:numRef>
          </c:xVal>
          <c:yVal>
            <c:numRef>
              <c:f>'ИД и расчеты'!$J$213:$J$214</c:f>
              <c:numCache>
                <c:formatCode>0.00</c:formatCode>
                <c:ptCount val="2"/>
                <c:pt idx="0">
                  <c:v>0</c:v>
                </c:pt>
                <c:pt idx="1">
                  <c:v>0</c:v>
                </c:pt>
              </c:numCache>
            </c:numRef>
          </c:yVal>
          <c:smooth val="0"/>
        </c:ser>
        <c:ser>
          <c:idx val="14"/>
          <c:order val="13"/>
          <c:tx>
            <c:v>Carnica1</c:v>
          </c:tx>
          <c:spPr>
            <a:ln w="38100">
              <a:solidFill>
                <a:srgbClr val="008000"/>
              </a:solidFill>
              <a:prstDash val="lgDash"/>
            </a:ln>
          </c:spPr>
          <c:marker>
            <c:symbol val="circle"/>
            <c:size val="5"/>
            <c:spPr>
              <a:noFill/>
              <a:ln w="6350">
                <a:noFill/>
              </a:ln>
            </c:spPr>
          </c:marker>
          <c:xVal>
            <c:numRef>
              <c:f>'ИД и расчеты'!$C$215:$C$216</c:f>
              <c:numCache>
                <c:formatCode>0.00</c:formatCode>
                <c:ptCount val="2"/>
                <c:pt idx="0">
                  <c:v>2.16</c:v>
                </c:pt>
                <c:pt idx="1">
                  <c:v>2.16</c:v>
                </c:pt>
              </c:numCache>
            </c:numRef>
          </c:xVal>
          <c:yVal>
            <c:numRef>
              <c:f>'ИД и расчеты'!$D$215:$D$216</c:f>
              <c:numCache>
                <c:formatCode>0.00</c:formatCode>
                <c:ptCount val="2"/>
                <c:pt idx="0">
                  <c:v>0</c:v>
                </c:pt>
                <c:pt idx="1">
                  <c:v>12.39</c:v>
                </c:pt>
              </c:numCache>
            </c:numRef>
          </c:yVal>
          <c:smooth val="0"/>
        </c:ser>
        <c:ser>
          <c:idx val="15"/>
          <c:order val="14"/>
          <c:tx>
            <c:v>Carnica2</c:v>
          </c:tx>
          <c:spPr>
            <a:ln w="38100">
              <a:solidFill>
                <a:srgbClr val="008000"/>
              </a:solidFill>
              <a:prstDash val="lgDash"/>
            </a:ln>
          </c:spPr>
          <c:marker>
            <c:symbol val="plus"/>
            <c:size val="9"/>
            <c:spPr>
              <a:noFill/>
              <a:ln w="6350">
                <a:noFill/>
              </a:ln>
            </c:spPr>
          </c:marker>
          <c:xVal>
            <c:numRef>
              <c:f>'ИД и расчеты'!$E$215:$E$216</c:f>
              <c:numCache>
                <c:formatCode>0.00</c:formatCode>
                <c:ptCount val="2"/>
                <c:pt idx="0">
                  <c:v>2.16</c:v>
                </c:pt>
                <c:pt idx="1">
                  <c:v>5.67</c:v>
                </c:pt>
              </c:numCache>
            </c:numRef>
          </c:xVal>
          <c:yVal>
            <c:numRef>
              <c:f>'ИД и расчеты'!$F$215:$F$216</c:f>
              <c:numCache>
                <c:formatCode>0.00</c:formatCode>
                <c:ptCount val="2"/>
                <c:pt idx="0">
                  <c:v>12.39</c:v>
                </c:pt>
                <c:pt idx="1">
                  <c:v>12.39</c:v>
                </c:pt>
              </c:numCache>
            </c:numRef>
          </c:yVal>
          <c:smooth val="0"/>
        </c:ser>
        <c:ser>
          <c:idx val="16"/>
          <c:order val="15"/>
          <c:tx>
            <c:v>Carnica3</c:v>
          </c:tx>
          <c:spPr>
            <a:ln w="38100">
              <a:solidFill>
                <a:srgbClr val="008000"/>
              </a:solidFill>
              <a:prstDash val="lgDash"/>
            </a:ln>
          </c:spPr>
          <c:marker>
            <c:symbol val="dot"/>
            <c:size val="9"/>
            <c:spPr>
              <a:noFill/>
              <a:ln w="6350">
                <a:noFill/>
              </a:ln>
            </c:spPr>
          </c:marker>
          <c:xVal>
            <c:numRef>
              <c:f>'ИД и расчеты'!$G$215:$G$216</c:f>
              <c:numCache>
                <c:formatCode>0.00</c:formatCode>
                <c:ptCount val="2"/>
                <c:pt idx="0">
                  <c:v>5.67</c:v>
                </c:pt>
                <c:pt idx="1">
                  <c:v>5.67</c:v>
                </c:pt>
              </c:numCache>
            </c:numRef>
          </c:xVal>
          <c:yVal>
            <c:numRef>
              <c:f>'ИД и расчеты'!$H$215:$H$216</c:f>
              <c:numCache>
                <c:formatCode>0.00</c:formatCode>
                <c:ptCount val="2"/>
                <c:pt idx="0">
                  <c:v>0</c:v>
                </c:pt>
                <c:pt idx="1">
                  <c:v>12.39</c:v>
                </c:pt>
              </c:numCache>
            </c:numRef>
          </c:yVal>
          <c:smooth val="0"/>
        </c:ser>
        <c:ser>
          <c:idx val="17"/>
          <c:order val="16"/>
          <c:tx>
            <c:v>Carnica4</c:v>
          </c:tx>
          <c:spPr>
            <a:ln w="38100">
              <a:solidFill>
                <a:srgbClr val="008000"/>
              </a:solidFill>
              <a:prstDash val="lgDash"/>
            </a:ln>
          </c:spPr>
          <c:marker>
            <c:symbol val="dash"/>
            <c:size val="9"/>
            <c:spPr>
              <a:noFill/>
              <a:ln w="6350">
                <a:noFill/>
              </a:ln>
            </c:spPr>
          </c:marker>
          <c:xVal>
            <c:numRef>
              <c:f>'ИД и расчеты'!$I$215:$I$216</c:f>
              <c:numCache>
                <c:formatCode>0.00</c:formatCode>
                <c:ptCount val="2"/>
                <c:pt idx="0">
                  <c:v>2.16</c:v>
                </c:pt>
                <c:pt idx="1">
                  <c:v>5.67</c:v>
                </c:pt>
              </c:numCache>
            </c:numRef>
          </c:xVal>
          <c:yVal>
            <c:numRef>
              <c:f>'ИД и расчеты'!$J$215:$J$216</c:f>
              <c:numCache>
                <c:formatCode>0.00</c:formatCode>
                <c:ptCount val="2"/>
                <c:pt idx="0">
                  <c:v>0</c:v>
                </c:pt>
                <c:pt idx="1">
                  <c:v>0</c:v>
                </c:pt>
              </c:numCache>
            </c:numRef>
          </c:yVal>
          <c:smooth val="0"/>
        </c:ser>
        <c:ser>
          <c:idx val="18"/>
          <c:order val="17"/>
          <c:tx>
            <c:v>Doverit1</c:v>
          </c:tx>
          <c:spPr>
            <a:ln w="38100">
              <a:solidFill>
                <a:srgbClr val="FF0000"/>
              </a:solidFill>
              <a:prstDash val="solid"/>
            </a:ln>
          </c:spPr>
          <c:marker>
            <c:symbol val="diamond"/>
            <c:size val="9"/>
            <c:spPr>
              <a:noFill/>
              <a:ln w="6350">
                <a:noFill/>
              </a:ln>
            </c:spPr>
          </c:marker>
          <c:xVal>
            <c:numRef>
              <c:f>'ИД и расчеты'!$C$217:$C$218</c:f>
              <c:numCache>
                <c:formatCode>0.00</c:formatCode>
                <c:ptCount val="2"/>
                <c:pt idx="0">
                  <c:v>1.2029073916946968</c:v>
                </c:pt>
                <c:pt idx="1">
                  <c:v>1.2029073916946968</c:v>
                </c:pt>
              </c:numCache>
            </c:numRef>
          </c:xVal>
          <c:yVal>
            <c:numRef>
              <c:f>'ИД и расчеты'!$D$217:$D$218</c:f>
              <c:numCache>
                <c:formatCode>0.00</c:formatCode>
                <c:ptCount val="2"/>
                <c:pt idx="0">
                  <c:v>-7.7474338380844898</c:v>
                </c:pt>
                <c:pt idx="1">
                  <c:v>-2.7847138380844894</c:v>
                </c:pt>
              </c:numCache>
            </c:numRef>
          </c:yVal>
          <c:smooth val="0"/>
        </c:ser>
        <c:ser>
          <c:idx val="19"/>
          <c:order val="18"/>
          <c:tx>
            <c:v>Doverit2</c:v>
          </c:tx>
          <c:spPr>
            <a:ln w="38100">
              <a:solidFill>
                <a:srgbClr val="FF0000"/>
              </a:solidFill>
              <a:prstDash val="solid"/>
            </a:ln>
          </c:spPr>
          <c:marker>
            <c:symbol val="none"/>
          </c:marker>
          <c:xVal>
            <c:numRef>
              <c:f>'ИД и расчеты'!$E$217:$E$218</c:f>
              <c:numCache>
                <c:formatCode>0.00</c:formatCode>
                <c:ptCount val="2"/>
                <c:pt idx="0">
                  <c:v>1.2029073916946968</c:v>
                </c:pt>
                <c:pt idx="1">
                  <c:v>1.9673073916946966</c:v>
                </c:pt>
              </c:numCache>
            </c:numRef>
          </c:xVal>
          <c:yVal>
            <c:numRef>
              <c:f>'ИД и расчеты'!$F$217:$F$218</c:f>
              <c:numCache>
                <c:formatCode>0.00</c:formatCode>
                <c:ptCount val="2"/>
                <c:pt idx="0">
                  <c:v>-2.7847138380844894</c:v>
                </c:pt>
                <c:pt idx="1">
                  <c:v>-2.7847138380844894</c:v>
                </c:pt>
              </c:numCache>
            </c:numRef>
          </c:yVal>
          <c:smooth val="0"/>
        </c:ser>
        <c:ser>
          <c:idx val="20"/>
          <c:order val="19"/>
          <c:tx>
            <c:v>Doverit3</c:v>
          </c:tx>
          <c:spPr>
            <a:ln w="38100">
              <a:solidFill>
                <a:srgbClr val="FF0000"/>
              </a:solidFill>
              <a:prstDash val="solid"/>
            </a:ln>
          </c:spPr>
          <c:marker>
            <c:symbol val="triangle"/>
            <c:size val="9"/>
            <c:spPr>
              <a:noFill/>
              <a:ln w="6350">
                <a:noFill/>
              </a:ln>
            </c:spPr>
          </c:marker>
          <c:xVal>
            <c:numRef>
              <c:f>'ИД и расчеты'!$G$217:$G$218</c:f>
              <c:numCache>
                <c:formatCode>0.00</c:formatCode>
                <c:ptCount val="2"/>
                <c:pt idx="0">
                  <c:v>1.9673073916946966</c:v>
                </c:pt>
                <c:pt idx="1">
                  <c:v>1.9673073916946966</c:v>
                </c:pt>
              </c:numCache>
            </c:numRef>
          </c:xVal>
          <c:yVal>
            <c:numRef>
              <c:f>'ИД и расчеты'!$H$217:$H$218</c:f>
              <c:numCache>
                <c:formatCode>0.00</c:formatCode>
                <c:ptCount val="2"/>
                <c:pt idx="0">
                  <c:v>-7.7474338380844898</c:v>
                </c:pt>
                <c:pt idx="1">
                  <c:v>-2.7847138380844894</c:v>
                </c:pt>
              </c:numCache>
            </c:numRef>
          </c:yVal>
          <c:smooth val="0"/>
        </c:ser>
        <c:ser>
          <c:idx val="21"/>
          <c:order val="20"/>
          <c:tx>
            <c:v>Doverit4</c:v>
          </c:tx>
          <c:spPr>
            <a:ln w="38100">
              <a:solidFill>
                <a:srgbClr val="FF0000"/>
              </a:solidFill>
              <a:prstDash val="solid"/>
            </a:ln>
          </c:spPr>
          <c:marker>
            <c:symbol val="x"/>
            <c:size val="9"/>
            <c:spPr>
              <a:noFill/>
              <a:ln w="6350">
                <a:noFill/>
              </a:ln>
            </c:spPr>
          </c:marker>
          <c:xVal>
            <c:numRef>
              <c:f>'ИД и расчеты'!$I$217:$I$218</c:f>
              <c:numCache>
                <c:formatCode>0.00</c:formatCode>
                <c:ptCount val="2"/>
                <c:pt idx="0">
                  <c:v>1.2029073916946968</c:v>
                </c:pt>
                <c:pt idx="1">
                  <c:v>1.9673073916946966</c:v>
                </c:pt>
              </c:numCache>
            </c:numRef>
          </c:xVal>
          <c:yVal>
            <c:numRef>
              <c:f>'ИД и расчеты'!$J$217:$J$218</c:f>
              <c:numCache>
                <c:formatCode>0.00</c:formatCode>
                <c:ptCount val="2"/>
                <c:pt idx="0">
                  <c:v>-7.7474338380844898</c:v>
                </c:pt>
                <c:pt idx="1">
                  <c:v>-7.7474338380844898</c:v>
                </c:pt>
              </c:numCache>
            </c:numRef>
          </c:yVal>
          <c:smooth val="0"/>
        </c:ser>
        <c:dLbls>
          <c:showLegendKey val="0"/>
          <c:showVal val="0"/>
          <c:showCatName val="0"/>
          <c:showSerName val="0"/>
          <c:showPercent val="0"/>
          <c:showBubbleSize val="0"/>
        </c:dLbls>
        <c:axId val="578840472"/>
        <c:axId val="578840864"/>
      </c:scatterChart>
      <c:valAx>
        <c:axId val="578840472"/>
        <c:scaling>
          <c:orientation val="minMax"/>
          <c:max val="6"/>
          <c:min val="0.5"/>
        </c:scaling>
        <c:delete val="0"/>
        <c:axPos val="b"/>
        <c:title>
          <c:tx>
            <c:rich>
              <a:bodyPr/>
              <a:lstStyle/>
              <a:p>
                <a:pPr>
                  <a:defRPr sz="900" b="1" i="0" u="none" strike="noStrike" baseline="0">
                    <a:solidFill>
                      <a:srgbClr val="000000"/>
                    </a:solidFill>
                    <a:latin typeface="Arial Cyr"/>
                    <a:ea typeface="Arial Cyr"/>
                    <a:cs typeface="Arial Cyr"/>
                  </a:defRPr>
                </a:pPr>
                <a:r>
                  <a:rPr lang="de-DE"/>
                  <a:t>CI</a:t>
                </a:r>
              </a:p>
            </c:rich>
          </c:tx>
          <c:layout>
            <c:manualLayout>
              <c:xMode val="edge"/>
              <c:yMode val="edge"/>
              <c:x val="0.95441782543139564"/>
              <c:y val="0.49420088024369802"/>
            </c:manualLayout>
          </c:layout>
          <c:overlay val="0"/>
          <c:spPr>
            <a:noFill/>
            <a:ln w="25400">
              <a:noFill/>
            </a:ln>
          </c:spPr>
        </c:title>
        <c:numFmt formatCode="0.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8840864"/>
        <c:crosses val="autoZero"/>
        <c:crossBetween val="midCat"/>
        <c:majorUnit val="0.5"/>
      </c:valAx>
      <c:valAx>
        <c:axId val="578840864"/>
        <c:scaling>
          <c:orientation val="minMax"/>
          <c:max val="13"/>
          <c:min val="-16"/>
        </c:scaling>
        <c:delete val="0"/>
        <c:axPos val="l"/>
        <c:majorGridlines>
          <c:spPr>
            <a:ln w="3175">
              <a:solidFill>
                <a:srgbClr val="000000"/>
              </a:solidFill>
              <a:prstDash val="sysDash"/>
            </a:ln>
          </c:spPr>
        </c:majorGridlines>
        <c:title>
          <c:tx>
            <c:rich>
              <a:bodyPr rot="0" vert="horz"/>
              <a:lstStyle/>
              <a:p>
                <a:pPr algn="ctr">
                  <a:defRPr sz="900" b="1" i="0" u="none" strike="noStrike" baseline="0">
                    <a:solidFill>
                      <a:srgbClr val="000000"/>
                    </a:solidFill>
                    <a:latin typeface="Arial Cyr"/>
                    <a:ea typeface="Arial Cyr"/>
                    <a:cs typeface="Arial Cyr"/>
                  </a:defRPr>
                </a:pPr>
                <a:r>
                  <a:rPr lang="de-DE"/>
                  <a:t>DsA</a:t>
                </a:r>
              </a:p>
            </c:rich>
          </c:tx>
          <c:layout>
            <c:manualLayout>
              <c:xMode val="edge"/>
              <c:yMode val="edge"/>
              <c:x val="2.8489975987044169E-2"/>
              <c:y val="1.6241098447780069E-2"/>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1" i="0" u="none" strike="noStrike" baseline="0">
                <a:solidFill>
                  <a:srgbClr val="000000"/>
                </a:solidFill>
                <a:latin typeface="Arial Cyr"/>
                <a:ea typeface="Arial Cyr"/>
                <a:cs typeface="Arial Cyr"/>
              </a:defRPr>
            </a:pPr>
            <a:endParaRPr lang="ru-RU"/>
          </a:p>
        </c:txPr>
        <c:crossAx val="578840472"/>
        <c:crosses val="autoZero"/>
        <c:crossBetween val="midCat"/>
        <c:majorUnit val="2"/>
        <c:minorUnit val="0.5"/>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horizontalDpi="200" verticalDpi="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ru-RU" sz="1000" b="1" i="0" u="none" strike="noStrike" kern="1200" spc="0" baseline="0">
                <a:solidFill>
                  <a:schemeClr val="tx1"/>
                </a:solidFill>
                <a:latin typeface="Arial Cyr"/>
                <a:ea typeface="Arial Cyr"/>
                <a:cs typeface="Arial Cyr"/>
              </a:defRPr>
            </a:pPr>
            <a:r>
              <a:rPr lang="ru-RU" sz="1000" b="1" i="0" u="none" strike="noStrike" kern="1200" baseline="0">
                <a:solidFill>
                  <a:schemeClr val="tx1"/>
                </a:solidFill>
                <a:latin typeface="Arial Cyr"/>
                <a:ea typeface="Arial Cyr"/>
                <a:cs typeface="Arial Cyr"/>
              </a:rPr>
              <a:t>1. Фактическое (по исследованным пчелам) и прогнозное распределение пчел по породам</a:t>
            </a:r>
          </a:p>
        </c:rich>
      </c:tx>
      <c:overlay val="0"/>
      <c:spPr>
        <a:noFill/>
        <a:ln w="25400">
          <a:noFill/>
        </a:ln>
      </c:spPr>
    </c:title>
    <c:autoTitleDeleted val="0"/>
    <c:plotArea>
      <c:layout>
        <c:manualLayout>
          <c:layoutTarget val="inner"/>
          <c:xMode val="edge"/>
          <c:yMode val="edge"/>
          <c:x val="5.9490085414422411E-2"/>
          <c:y val="0.1654676339722965"/>
          <c:w val="0.62606232745654056"/>
          <c:h val="0.726618740487041"/>
        </c:manualLayout>
      </c:layout>
      <c:barChart>
        <c:barDir val="col"/>
        <c:grouping val="percentStacked"/>
        <c:varyColors val="0"/>
        <c:ser>
          <c:idx val="0"/>
          <c:order val="0"/>
          <c:tx>
            <c:strRef>
              <c:f>Результаты!$H$23</c:f>
              <c:strCache>
                <c:ptCount val="1"/>
                <c:pt idx="0">
                  <c:v>Mellifera</c:v>
                </c:pt>
              </c:strCache>
            </c:strRef>
          </c:tx>
          <c:spPr>
            <a:solidFill>
              <a:srgbClr val="0000FF"/>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Результаты!$J$23:$K$23</c:f>
              <c:numCache>
                <c:formatCode>0.0%</c:formatCode>
                <c:ptCount val="2"/>
                <c:pt idx="0">
                  <c:v>1</c:v>
                </c:pt>
                <c:pt idx="1">
                  <c:v>1</c:v>
                </c:pt>
              </c:numCache>
            </c:numRef>
          </c:val>
        </c:ser>
        <c:ser>
          <c:idx val="1"/>
          <c:order val="1"/>
          <c:tx>
            <c:strRef>
              <c:f>Результаты!$H$24</c:f>
              <c:strCache>
                <c:ptCount val="1"/>
                <c:pt idx="0">
                  <c:v>Caucasica</c:v>
                </c:pt>
              </c:strCache>
            </c:strRef>
          </c:tx>
          <c:spPr>
            <a:solidFill>
              <a:srgbClr val="C00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Результаты!$J$24:$K$24</c:f>
              <c:numCache>
                <c:formatCode>0.0%</c:formatCode>
                <c:ptCount val="2"/>
                <c:pt idx="0">
                  <c:v>0</c:v>
                </c:pt>
                <c:pt idx="1">
                  <c:v>2.8879837517111272E-3</c:v>
                </c:pt>
              </c:numCache>
            </c:numRef>
          </c:val>
        </c:ser>
        <c:ser>
          <c:idx val="2"/>
          <c:order val="2"/>
          <c:tx>
            <c:strRef>
              <c:f>Результаты!$H$25</c:f>
              <c:strCache>
                <c:ptCount val="1"/>
                <c:pt idx="0">
                  <c:v>Ligustica</c:v>
                </c:pt>
              </c:strCache>
            </c:strRef>
          </c:tx>
          <c:spPr>
            <a:solidFill>
              <a:srgbClr val="FFCC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Результаты!$J$25:$K$25</c:f>
              <c:numCache>
                <c:formatCode>0.0%</c:formatCode>
                <c:ptCount val="2"/>
                <c:pt idx="0">
                  <c:v>0</c:v>
                </c:pt>
                <c:pt idx="1">
                  <c:v>0</c:v>
                </c:pt>
              </c:numCache>
            </c:numRef>
          </c:val>
        </c:ser>
        <c:ser>
          <c:idx val="3"/>
          <c:order val="3"/>
          <c:tx>
            <c:strRef>
              <c:f>Результаты!$H$26</c:f>
              <c:strCache>
                <c:ptCount val="1"/>
                <c:pt idx="0">
                  <c:v>Carnica</c:v>
                </c:pt>
              </c:strCache>
            </c:strRef>
          </c:tx>
          <c:spPr>
            <a:solidFill>
              <a:srgbClr val="008000"/>
            </a:solidFill>
            <a:ln w="25400">
              <a:noFill/>
            </a:ln>
          </c:spPr>
          <c:invertIfNegative val="0"/>
          <c:cat>
            <c:strRef>
              <c:f>(Результаты!$J$20,Результаты!$K$20)</c:f>
              <c:strCache>
                <c:ptCount val="2"/>
                <c:pt idx="0">
                  <c:v>Исследованная проба пчел</c:v>
                </c:pt>
                <c:pt idx="1">
                  <c:v>Прогнозная вероятностная оценка для семьи</c:v>
                </c:pt>
              </c:strCache>
            </c:strRef>
          </c:cat>
          <c:val>
            <c:numRef>
              <c:f>Результаты!$J$26:$K$26</c:f>
              <c:numCache>
                <c:formatCode>0.0%</c:formatCode>
                <c:ptCount val="2"/>
                <c:pt idx="0">
                  <c:v>0</c:v>
                </c:pt>
                <c:pt idx="1">
                  <c:v>0</c:v>
                </c:pt>
              </c:numCache>
            </c:numRef>
          </c:val>
        </c:ser>
        <c:dLbls>
          <c:showLegendKey val="0"/>
          <c:showVal val="0"/>
          <c:showCatName val="0"/>
          <c:showSerName val="0"/>
          <c:showPercent val="0"/>
          <c:showBubbleSize val="0"/>
        </c:dLbls>
        <c:gapWidth val="200"/>
        <c:overlap val="100"/>
        <c:axId val="578841648"/>
        <c:axId val="578842040"/>
      </c:barChart>
      <c:catAx>
        <c:axId val="578841648"/>
        <c:scaling>
          <c:orientation val="minMax"/>
        </c:scaling>
        <c:delete val="0"/>
        <c:axPos val="b"/>
        <c:numFmt formatCode="General" sourceLinked="1"/>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578842040"/>
        <c:crosses val="autoZero"/>
        <c:auto val="1"/>
        <c:lblAlgn val="ctr"/>
        <c:lblOffset val="100"/>
        <c:noMultiLvlLbl val="0"/>
      </c:catAx>
      <c:valAx>
        <c:axId val="578842040"/>
        <c:scaling>
          <c:orientation val="minMax"/>
          <c:min val="0"/>
        </c:scaling>
        <c:delete val="0"/>
        <c:axPos val="l"/>
        <c:majorGridlines>
          <c:spPr>
            <a:ln w="3175" cap="flat" cmpd="sng" algn="ctr">
              <a:solidFill>
                <a:srgbClr val="898989"/>
              </a:solidFill>
              <a:prstDash val="solid"/>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crossAx val="578841648"/>
        <c:crosses val="autoZero"/>
        <c:crossBetween val="between"/>
      </c:valAx>
      <c:spPr>
        <a:noFill/>
        <a:ln w="25400">
          <a:noFill/>
        </a:ln>
      </c:spPr>
    </c:plotArea>
    <c:legend>
      <c:legendPos val="r"/>
      <c:layout>
        <c:manualLayout>
          <c:xMode val="edge"/>
          <c:yMode val="edge"/>
          <c:x val="0.79619757162082772"/>
          <c:y val="0.28363891563914223"/>
          <c:w val="0.11224896463012946"/>
          <c:h val="0.21275452079281459"/>
        </c:manualLayout>
      </c:layout>
      <c:overlay val="0"/>
      <c:spPr>
        <a:noFill/>
        <a:ln w="25400">
          <a:noFill/>
        </a:ln>
      </c:spPr>
      <c:txPr>
        <a:bodyPr rot="0" spcFirstLastPara="1" vertOverflow="ellipsis" vert="horz" wrap="square" anchor="ctr" anchorCtr="1"/>
        <a:lstStyle/>
        <a:p>
          <a:pPr algn="ctr">
            <a:defRPr lang="ru-RU" sz="700" b="1" i="0" u="none" strike="noStrike" kern="1200" baseline="0">
              <a:solidFill>
                <a:srgbClr val="000000"/>
              </a:solidFill>
              <a:latin typeface="Arial Cyr"/>
              <a:ea typeface="Arial Cyr"/>
              <a:cs typeface="Arial Cyr"/>
            </a:defRPr>
          </a:pPr>
          <a:endParaRPr lang="ru-RU"/>
        </a:p>
      </c:txPr>
    </c:legend>
    <c:plotVisOnly val="1"/>
    <c:dispBlanksAs val="gap"/>
    <c:showDLblsOverMax val="0"/>
  </c:chart>
  <c:spPr>
    <a:solidFill>
      <a:schemeClr val="bg1"/>
    </a:solidFill>
    <a:ln w="3175" cap="flat" cmpd="sng" algn="ctr">
      <a:solidFill>
        <a:srgbClr val="000000"/>
      </a:solidFill>
      <a:round/>
    </a:ln>
    <a:effectLst/>
  </c:spPr>
  <c:txPr>
    <a:bodyPr/>
    <a:lstStyle/>
    <a:p>
      <a:pPr>
        <a:defRPr sz="1000" b="0" i="0" u="none" strike="noStrike" baseline="0">
          <a:solidFill>
            <a:srgbClr val="000000"/>
          </a:solidFill>
          <a:latin typeface="Calibri"/>
          <a:ea typeface="Calibri"/>
          <a:cs typeface="Calibri"/>
        </a:defRPr>
      </a:pPr>
      <a:endParaRPr lang="ru-RU"/>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5. Распределение частоты </a:t>
            </a:r>
            <a:r>
              <a:rPr lang="en-US"/>
              <a:t>CI </a:t>
            </a:r>
            <a:r>
              <a:rPr lang="ru-RU"/>
              <a:t>по классам</a:t>
            </a:r>
          </a:p>
        </c:rich>
      </c:tx>
      <c:layout>
        <c:manualLayout>
          <c:xMode val="edge"/>
          <c:yMode val="edge"/>
          <c:x val="0.25498632446540254"/>
          <c:y val="1.9498597158113858E-2"/>
        </c:manualLayout>
      </c:layout>
      <c:overlay val="0"/>
      <c:spPr>
        <a:noFill/>
        <a:ln w="25400">
          <a:noFill/>
        </a:ln>
      </c:spPr>
    </c:title>
    <c:autoTitleDeleted val="0"/>
    <c:plotArea>
      <c:layout>
        <c:manualLayout>
          <c:layoutTarget val="inner"/>
          <c:xMode val="edge"/>
          <c:yMode val="edge"/>
          <c:x val="4.8251445778253875E-2"/>
          <c:y val="0.17654748148576338"/>
          <c:w val="0.94605250080065373"/>
          <c:h val="0.71918669060739571"/>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Графики!$A$2:$A$27</c:f>
              <c:numCache>
                <c:formatCode>General</c:formatCode>
                <c:ptCount val="2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numCache>
            </c:numRef>
          </c:cat>
          <c:val>
            <c:numRef>
              <c:f>Графики!$C$2:$C$27</c:f>
              <c:numCache>
                <c:formatCode>General</c:formatCode>
                <c:ptCount val="26"/>
                <c:pt idx="0">
                  <c:v>0</c:v>
                </c:pt>
                <c:pt idx="1">
                  <c:v>0</c:v>
                </c:pt>
                <c:pt idx="2">
                  <c:v>0</c:v>
                </c:pt>
                <c:pt idx="3">
                  <c:v>0</c:v>
                </c:pt>
                <c:pt idx="4">
                  <c:v>0</c:v>
                </c:pt>
                <c:pt idx="5">
                  <c:v>0</c:v>
                </c:pt>
                <c:pt idx="6">
                  <c:v>0</c:v>
                </c:pt>
                <c:pt idx="7">
                  <c:v>0</c:v>
                </c:pt>
                <c:pt idx="8">
                  <c:v>1</c:v>
                </c:pt>
                <c:pt idx="9">
                  <c:v>1</c:v>
                </c:pt>
                <c:pt idx="10">
                  <c:v>1</c:v>
                </c:pt>
                <c:pt idx="11">
                  <c:v>5</c:v>
                </c:pt>
                <c:pt idx="12">
                  <c:v>3</c:v>
                </c:pt>
                <c:pt idx="13">
                  <c:v>0</c:v>
                </c:pt>
                <c:pt idx="14">
                  <c:v>2</c:v>
                </c:pt>
                <c:pt idx="15">
                  <c:v>0</c:v>
                </c:pt>
                <c:pt idx="16">
                  <c:v>0</c:v>
                </c:pt>
                <c:pt idx="17">
                  <c:v>0</c:v>
                </c:pt>
                <c:pt idx="18">
                  <c:v>0</c:v>
                </c:pt>
                <c:pt idx="19">
                  <c:v>0</c:v>
                </c:pt>
                <c:pt idx="20">
                  <c:v>0</c:v>
                </c:pt>
                <c:pt idx="21">
                  <c:v>0</c:v>
                </c:pt>
                <c:pt idx="22">
                  <c:v>0</c:v>
                </c:pt>
                <c:pt idx="23">
                  <c:v>0</c:v>
                </c:pt>
                <c:pt idx="24">
                  <c:v>0</c:v>
                </c:pt>
                <c:pt idx="25">
                  <c:v>0</c:v>
                </c:pt>
              </c:numCache>
            </c:numRef>
          </c:val>
        </c:ser>
        <c:dLbls>
          <c:showLegendKey val="0"/>
          <c:showVal val="0"/>
          <c:showCatName val="0"/>
          <c:showSerName val="0"/>
          <c:showPercent val="0"/>
          <c:showBubbleSize val="0"/>
        </c:dLbls>
        <c:gapWidth val="150"/>
        <c:axId val="578842824"/>
        <c:axId val="578843216"/>
      </c:barChart>
      <c:lineChart>
        <c:grouping val="standard"/>
        <c:varyColors val="0"/>
        <c:ser>
          <c:idx val="1"/>
          <c:order val="3"/>
          <c:tx>
            <c:v>кривая фиктивная</c:v>
          </c:tx>
          <c:spPr>
            <a:ln w="38100">
              <a:noFill/>
            </a:ln>
            <a:effectLst>
              <a:softEdge rad="0"/>
            </a:effectLst>
          </c:spPr>
          <c:marker>
            <c:symbol val="none"/>
          </c:marker>
          <c:cat>
            <c:numRef>
              <c:f>Графики!$B$2:$B$27</c:f>
              <c:numCache>
                <c:formatCode>General</c:formatCode>
                <c:ptCount val="26"/>
                <c:pt idx="0">
                  <c:v>0.76</c:v>
                </c:pt>
                <c:pt idx="1">
                  <c:v>0.81</c:v>
                </c:pt>
                <c:pt idx="2">
                  <c:v>0.87</c:v>
                </c:pt>
                <c:pt idx="3">
                  <c:v>0.93</c:v>
                </c:pt>
                <c:pt idx="4">
                  <c:v>1</c:v>
                </c:pt>
                <c:pt idx="5">
                  <c:v>1.07</c:v>
                </c:pt>
                <c:pt idx="6">
                  <c:v>1.1399999999999999</c:v>
                </c:pt>
                <c:pt idx="7">
                  <c:v>1.22</c:v>
                </c:pt>
                <c:pt idx="8">
                  <c:v>1.31</c:v>
                </c:pt>
                <c:pt idx="9">
                  <c:v>1.4</c:v>
                </c:pt>
                <c:pt idx="10">
                  <c:v>1.5</c:v>
                </c:pt>
                <c:pt idx="11">
                  <c:v>1.61</c:v>
                </c:pt>
                <c:pt idx="12">
                  <c:v>1.73</c:v>
                </c:pt>
                <c:pt idx="13">
                  <c:v>1.86</c:v>
                </c:pt>
                <c:pt idx="14">
                  <c:v>2</c:v>
                </c:pt>
                <c:pt idx="15">
                  <c:v>2.16</c:v>
                </c:pt>
                <c:pt idx="16">
                  <c:v>2.33</c:v>
                </c:pt>
                <c:pt idx="17">
                  <c:v>2.5299999999999998</c:v>
                </c:pt>
                <c:pt idx="18">
                  <c:v>2.75</c:v>
                </c:pt>
                <c:pt idx="19">
                  <c:v>3</c:v>
                </c:pt>
                <c:pt idx="20">
                  <c:v>3.29</c:v>
                </c:pt>
                <c:pt idx="21">
                  <c:v>3.62</c:v>
                </c:pt>
                <c:pt idx="22">
                  <c:v>4</c:v>
                </c:pt>
                <c:pt idx="23">
                  <c:v>4.45</c:v>
                </c:pt>
                <c:pt idx="24">
                  <c:v>5</c:v>
                </c:pt>
                <c:pt idx="25">
                  <c:v>5.67</c:v>
                </c:pt>
              </c:numCache>
            </c:numRef>
          </c:cat>
          <c:val>
            <c:numRef>
              <c:f>Графики!$C$2:$C$27</c:f>
              <c:numCache>
                <c:formatCode>General</c:formatCode>
                <c:ptCount val="26"/>
                <c:pt idx="0">
                  <c:v>0</c:v>
                </c:pt>
                <c:pt idx="1">
                  <c:v>0</c:v>
                </c:pt>
                <c:pt idx="2">
                  <c:v>0</c:v>
                </c:pt>
                <c:pt idx="3">
                  <c:v>0</c:v>
                </c:pt>
                <c:pt idx="4">
                  <c:v>0</c:v>
                </c:pt>
                <c:pt idx="5">
                  <c:v>0</c:v>
                </c:pt>
                <c:pt idx="6">
                  <c:v>0</c:v>
                </c:pt>
                <c:pt idx="7">
                  <c:v>0</c:v>
                </c:pt>
                <c:pt idx="8">
                  <c:v>1</c:v>
                </c:pt>
                <c:pt idx="9">
                  <c:v>1</c:v>
                </c:pt>
                <c:pt idx="10">
                  <c:v>1</c:v>
                </c:pt>
                <c:pt idx="11">
                  <c:v>5</c:v>
                </c:pt>
                <c:pt idx="12">
                  <c:v>3</c:v>
                </c:pt>
                <c:pt idx="13">
                  <c:v>0</c:v>
                </c:pt>
                <c:pt idx="14">
                  <c:v>2</c:v>
                </c:pt>
                <c:pt idx="15">
                  <c:v>0</c:v>
                </c:pt>
                <c:pt idx="16">
                  <c:v>0</c:v>
                </c:pt>
                <c:pt idx="17">
                  <c:v>0</c:v>
                </c:pt>
                <c:pt idx="18">
                  <c:v>0</c:v>
                </c:pt>
                <c:pt idx="19">
                  <c:v>0</c:v>
                </c:pt>
                <c:pt idx="20">
                  <c:v>0</c:v>
                </c:pt>
                <c:pt idx="21">
                  <c:v>0</c:v>
                </c:pt>
                <c:pt idx="22">
                  <c:v>0</c:v>
                </c:pt>
                <c:pt idx="23">
                  <c:v>0</c:v>
                </c:pt>
                <c:pt idx="24">
                  <c:v>0</c:v>
                </c:pt>
                <c:pt idx="25">
                  <c:v>0</c:v>
                </c:pt>
              </c:numCache>
            </c:numRef>
          </c:val>
          <c:smooth val="0"/>
        </c:ser>
        <c:dLbls>
          <c:showLegendKey val="0"/>
          <c:showVal val="0"/>
          <c:showCatName val="0"/>
          <c:showSerName val="0"/>
          <c:showPercent val="0"/>
          <c:showBubbleSize val="0"/>
        </c:dLbls>
        <c:marker val="1"/>
        <c:smooth val="0"/>
        <c:axId val="578843608"/>
        <c:axId val="578844000"/>
      </c:lineChart>
      <c:scatterChart>
        <c:scatterStyle val="lineMarker"/>
        <c:varyColors val="0"/>
        <c:ser>
          <c:idx val="4"/>
          <c:order val="1"/>
          <c:tx>
            <c:v>Нижняя граница допустимого</c:v>
          </c:tx>
          <c:spPr>
            <a:ln w="25400">
              <a:solidFill>
                <a:srgbClr val="FF0000"/>
              </a:solidFill>
            </a:ln>
          </c:spPr>
          <c:marker>
            <c:symbol val="none"/>
          </c:marker>
          <c:xVal>
            <c:numRef>
              <c:f>'ИД и расчеты'!$E$241:$E$242</c:f>
              <c:numCache>
                <c:formatCode>0.00</c:formatCode>
                <c:ptCount val="2"/>
                <c:pt idx="0">
                  <c:v>1</c:v>
                </c:pt>
                <c:pt idx="1">
                  <c:v>1</c:v>
                </c:pt>
              </c:numCache>
            </c:numRef>
          </c:xVal>
          <c:yVal>
            <c:numRef>
              <c:f>'ИД и расчеты'!$F$241:$F$242</c:f>
              <c:numCache>
                <c:formatCode>General</c:formatCode>
                <c:ptCount val="2"/>
                <c:pt idx="0">
                  <c:v>0</c:v>
                </c:pt>
                <c:pt idx="1">
                  <c:v>7</c:v>
                </c:pt>
              </c:numCache>
            </c:numRef>
          </c:yVal>
          <c:smooth val="0"/>
        </c:ser>
        <c:ser>
          <c:idx val="3"/>
          <c:order val="4"/>
          <c:tx>
            <c:v>Нижний диапазон</c:v>
          </c:tx>
          <c:spPr>
            <a:ln w="25400">
              <a:solidFill>
                <a:srgbClr val="00B050"/>
              </a:solidFill>
            </a:ln>
          </c:spPr>
          <c:marker>
            <c:symbol val="none"/>
          </c:marker>
          <c:xVal>
            <c:numRef>
              <c:f>'ИД и расчеты'!$C$241:$C$242</c:f>
              <c:numCache>
                <c:formatCode>0.00</c:formatCode>
                <c:ptCount val="2"/>
                <c:pt idx="0">
                  <c:v>1</c:v>
                </c:pt>
                <c:pt idx="1">
                  <c:v>1</c:v>
                </c:pt>
              </c:numCache>
            </c:numRef>
          </c:xVal>
          <c:yVal>
            <c:numRef>
              <c:f>'ИД и расчеты'!$D$241:$D$242</c:f>
              <c:numCache>
                <c:formatCode>0.00</c:formatCode>
                <c:ptCount val="2"/>
                <c:pt idx="0">
                  <c:v>0</c:v>
                </c:pt>
                <c:pt idx="1">
                  <c:v>7</c:v>
                </c:pt>
              </c:numCache>
            </c:numRef>
          </c:yVal>
          <c:smooth val="0"/>
        </c:ser>
        <c:ser>
          <c:idx val="5"/>
          <c:order val="5"/>
          <c:tx>
            <c:v>Верхняя нраница допустимого</c:v>
          </c:tx>
          <c:spPr>
            <a:ln w="25400">
              <a:solidFill>
                <a:srgbClr val="FF0000"/>
              </a:solidFill>
            </a:ln>
          </c:spPr>
          <c:marker>
            <c:symbol val="none"/>
          </c:marker>
          <c:xVal>
            <c:numRef>
              <c:f>'ИД и расчеты'!$I$241:$I$242</c:f>
              <c:numCache>
                <c:formatCode>0.00</c:formatCode>
                <c:ptCount val="2"/>
                <c:pt idx="0">
                  <c:v>19</c:v>
                </c:pt>
                <c:pt idx="1">
                  <c:v>19</c:v>
                </c:pt>
              </c:numCache>
            </c:numRef>
          </c:xVal>
          <c:yVal>
            <c:numRef>
              <c:f>'ИД и расчеты'!$J$241:$J$242</c:f>
              <c:numCache>
                <c:formatCode>General</c:formatCode>
                <c:ptCount val="2"/>
                <c:pt idx="0">
                  <c:v>0</c:v>
                </c:pt>
                <c:pt idx="1">
                  <c:v>7</c:v>
                </c:pt>
              </c:numCache>
            </c:numRef>
          </c:yVal>
          <c:smooth val="0"/>
        </c:ser>
        <c:ser>
          <c:idx val="2"/>
          <c:order val="6"/>
          <c:tx>
            <c:v>Верхний диапазон</c:v>
          </c:tx>
          <c:spPr>
            <a:ln w="25400">
              <a:solidFill>
                <a:srgbClr val="00B050"/>
              </a:solidFill>
            </a:ln>
          </c:spPr>
          <c:marker>
            <c:symbol val="none"/>
          </c:marker>
          <c:xVal>
            <c:numRef>
              <c:f>'ИД и расчеты'!$G$241:$G$242</c:f>
              <c:numCache>
                <c:formatCode>0.00</c:formatCode>
                <c:ptCount val="2"/>
                <c:pt idx="0">
                  <c:v>16</c:v>
                </c:pt>
                <c:pt idx="1">
                  <c:v>16</c:v>
                </c:pt>
              </c:numCache>
            </c:numRef>
          </c:xVal>
          <c:yVal>
            <c:numRef>
              <c:f>'ИД и расчеты'!$D$241:$D$242</c:f>
              <c:numCache>
                <c:formatCode>0.00</c:formatCode>
                <c:ptCount val="2"/>
                <c:pt idx="0">
                  <c:v>0</c:v>
                </c:pt>
                <c:pt idx="1">
                  <c:v>7</c:v>
                </c:pt>
              </c:numCache>
            </c:numRef>
          </c:yVal>
          <c:smooth val="0"/>
        </c:ser>
        <c:dLbls>
          <c:showLegendKey val="0"/>
          <c:showVal val="0"/>
          <c:showCatName val="0"/>
          <c:showSerName val="0"/>
          <c:showPercent val="0"/>
          <c:showBubbleSize val="0"/>
        </c:dLbls>
        <c:axId val="578842824"/>
        <c:axId val="578843216"/>
      </c:scatterChart>
      <c:scatterChart>
        <c:scatterStyle val="smoothMarker"/>
        <c:varyColors val="0"/>
        <c:ser>
          <c:idx val="6"/>
          <c:order val="2"/>
          <c:tx>
            <c:v>Крива</c:v>
          </c:tx>
          <c:spPr>
            <a:ln w="25400">
              <a:solidFill>
                <a:srgbClr val="FF0000"/>
              </a:solidFill>
            </a:ln>
          </c:spPr>
          <c:marker>
            <c:symbol val="none"/>
          </c:marker>
          <c:yVal>
            <c:numRef>
              <c:f>Графики!$C$2:$C$27</c:f>
              <c:numCache>
                <c:formatCode>General</c:formatCode>
                <c:ptCount val="26"/>
                <c:pt idx="0">
                  <c:v>0</c:v>
                </c:pt>
                <c:pt idx="1">
                  <c:v>0</c:v>
                </c:pt>
                <c:pt idx="2">
                  <c:v>0</c:v>
                </c:pt>
                <c:pt idx="3">
                  <c:v>0</c:v>
                </c:pt>
                <c:pt idx="4">
                  <c:v>0</c:v>
                </c:pt>
                <c:pt idx="5">
                  <c:v>0</c:v>
                </c:pt>
                <c:pt idx="6">
                  <c:v>0</c:v>
                </c:pt>
                <c:pt idx="7">
                  <c:v>0</c:v>
                </c:pt>
                <c:pt idx="8">
                  <c:v>1</c:v>
                </c:pt>
                <c:pt idx="9">
                  <c:v>1</c:v>
                </c:pt>
                <c:pt idx="10">
                  <c:v>1</c:v>
                </c:pt>
                <c:pt idx="11">
                  <c:v>5</c:v>
                </c:pt>
                <c:pt idx="12">
                  <c:v>3</c:v>
                </c:pt>
                <c:pt idx="13">
                  <c:v>0</c:v>
                </c:pt>
                <c:pt idx="14">
                  <c:v>2</c:v>
                </c:pt>
                <c:pt idx="15">
                  <c:v>0</c:v>
                </c:pt>
                <c:pt idx="16">
                  <c:v>0</c:v>
                </c:pt>
                <c:pt idx="17">
                  <c:v>0</c:v>
                </c:pt>
                <c:pt idx="18">
                  <c:v>0</c:v>
                </c:pt>
                <c:pt idx="19">
                  <c:v>0</c:v>
                </c:pt>
                <c:pt idx="20">
                  <c:v>0</c:v>
                </c:pt>
                <c:pt idx="21">
                  <c:v>0</c:v>
                </c:pt>
                <c:pt idx="22">
                  <c:v>0</c:v>
                </c:pt>
                <c:pt idx="23">
                  <c:v>0</c:v>
                </c:pt>
                <c:pt idx="24">
                  <c:v>0</c:v>
                </c:pt>
                <c:pt idx="25">
                  <c:v>0</c:v>
                </c:pt>
              </c:numCache>
            </c:numRef>
          </c:yVal>
          <c:smooth val="1"/>
        </c:ser>
        <c:dLbls>
          <c:showLegendKey val="0"/>
          <c:showVal val="0"/>
          <c:showCatName val="0"/>
          <c:showSerName val="0"/>
          <c:showPercent val="0"/>
          <c:showBubbleSize val="0"/>
        </c:dLbls>
        <c:axId val="578842824"/>
        <c:axId val="578843216"/>
      </c:scatterChart>
      <c:catAx>
        <c:axId val="578842824"/>
        <c:scaling>
          <c:orientation val="minMax"/>
        </c:scaling>
        <c:delete val="0"/>
        <c:axPos val="b"/>
        <c:majorGridlines/>
        <c:numFmt formatCode="General"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8843216"/>
        <c:crosses val="autoZero"/>
        <c:auto val="1"/>
        <c:lblAlgn val="ctr"/>
        <c:lblOffset val="100"/>
        <c:tickLblSkip val="1"/>
        <c:tickMarkSkip val="1"/>
        <c:noMultiLvlLbl val="0"/>
      </c:catAx>
      <c:valAx>
        <c:axId val="578843216"/>
        <c:scaling>
          <c:orientation val="minMax"/>
          <c:max val="7"/>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chemeClr val="tx1"/>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8842824"/>
        <c:crosses val="autoZero"/>
        <c:crossBetween val="between"/>
        <c:majorUnit val="5"/>
      </c:valAx>
      <c:catAx>
        <c:axId val="578843608"/>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578844000"/>
        <c:crosses val="max"/>
        <c:auto val="1"/>
        <c:lblAlgn val="ctr"/>
        <c:lblOffset val="100"/>
        <c:tickMarkSkip val="1"/>
        <c:noMultiLvlLbl val="0"/>
      </c:catAx>
      <c:valAx>
        <c:axId val="578844000"/>
        <c:scaling>
          <c:orientation val="minMax"/>
        </c:scaling>
        <c:delete val="1"/>
        <c:axPos val="r"/>
        <c:numFmt formatCode="General" sourceLinked="1"/>
        <c:majorTickMark val="out"/>
        <c:minorTickMark val="none"/>
        <c:tickLblPos val="nextTo"/>
        <c:crossAx val="578843608"/>
        <c:crosses val="max"/>
        <c:crossBetween val="between"/>
      </c:valAx>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en-US"/>
              <a:t>6</a:t>
            </a:r>
            <a:r>
              <a:rPr lang="ru-RU"/>
              <a:t>. Распределение частоты </a:t>
            </a:r>
            <a:r>
              <a:rPr lang="en-US"/>
              <a:t>DsA</a:t>
            </a:r>
            <a:r>
              <a:rPr lang="ru-RU"/>
              <a:t> по классам</a:t>
            </a:r>
          </a:p>
        </c:rich>
      </c:tx>
      <c:layout>
        <c:manualLayout>
          <c:xMode val="edge"/>
          <c:yMode val="edge"/>
          <c:x val="0.25498632446540254"/>
          <c:y val="1.949851754641781E-2"/>
        </c:manualLayout>
      </c:layout>
      <c:overlay val="0"/>
      <c:spPr>
        <a:noFill/>
        <a:ln w="25400">
          <a:noFill/>
        </a:ln>
      </c:spPr>
    </c:title>
    <c:autoTitleDeleted val="0"/>
    <c:plotArea>
      <c:layout>
        <c:manualLayout>
          <c:layoutTarget val="inner"/>
          <c:xMode val="edge"/>
          <c:yMode val="edge"/>
          <c:x val="5.2706653522926396E-2"/>
          <c:y val="0.16578723307230336"/>
          <c:w val="0.92735220117365091"/>
          <c:h val="0.73393423628782617"/>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numRef>
              <c:f>Графики!$I$2:$I$31</c:f>
              <c:numCache>
                <c:formatCode>0</c:formatCode>
                <c:ptCount val="30"/>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numCache>
            </c:numRef>
          </c:cat>
          <c:val>
            <c:numRef>
              <c:f>Графики!$H$2:$H$31</c:f>
              <c:numCache>
                <c:formatCode>General</c:formatCode>
                <c:ptCount val="30"/>
                <c:pt idx="0">
                  <c:v>0</c:v>
                </c:pt>
                <c:pt idx="1">
                  <c:v>0</c:v>
                </c:pt>
                <c:pt idx="2">
                  <c:v>0</c:v>
                </c:pt>
                <c:pt idx="3">
                  <c:v>0</c:v>
                </c:pt>
                <c:pt idx="4">
                  <c:v>0</c:v>
                </c:pt>
                <c:pt idx="5">
                  <c:v>0</c:v>
                </c:pt>
                <c:pt idx="6">
                  <c:v>0</c:v>
                </c:pt>
                <c:pt idx="7">
                  <c:v>0</c:v>
                </c:pt>
                <c:pt idx="8">
                  <c:v>0</c:v>
                </c:pt>
                <c:pt idx="9">
                  <c:v>3</c:v>
                </c:pt>
                <c:pt idx="10">
                  <c:v>1</c:v>
                </c:pt>
                <c:pt idx="11">
                  <c:v>3</c:v>
                </c:pt>
                <c:pt idx="12">
                  <c:v>4</c:v>
                </c:pt>
                <c:pt idx="13">
                  <c:v>2</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50"/>
        <c:axId val="578845176"/>
        <c:axId val="578845568"/>
      </c:barChart>
      <c:lineChart>
        <c:grouping val="standard"/>
        <c:varyColors val="0"/>
        <c:ser>
          <c:idx val="1"/>
          <c:order val="1"/>
          <c:tx>
            <c:v>Кривая фиктивная</c:v>
          </c:tx>
          <c:spPr>
            <a:ln w="25400">
              <a:noFill/>
              <a:prstDash val="solid"/>
            </a:ln>
          </c:spPr>
          <c:marker>
            <c:symbol val="none"/>
          </c:marker>
          <c:cat>
            <c:numRef>
              <c:f>Графики!$G$2:$G$31</c:f>
              <c:numCache>
                <c:formatCode>0.00</c:formatCode>
                <c:ptCount val="30"/>
                <c:pt idx="0">
                  <c:v>-15.31</c:v>
                </c:pt>
                <c:pt idx="1">
                  <c:v>-14.33</c:v>
                </c:pt>
                <c:pt idx="2">
                  <c:v>-13.36</c:v>
                </c:pt>
                <c:pt idx="3">
                  <c:v>-12.39</c:v>
                </c:pt>
                <c:pt idx="4">
                  <c:v>-11.42</c:v>
                </c:pt>
                <c:pt idx="5">
                  <c:v>-10.46</c:v>
                </c:pt>
                <c:pt idx="6">
                  <c:v>-9.5</c:v>
                </c:pt>
                <c:pt idx="7">
                  <c:v>-8.5399999999999991</c:v>
                </c:pt>
                <c:pt idx="8">
                  <c:v>-7.59</c:v>
                </c:pt>
                <c:pt idx="9">
                  <c:v>-6.63</c:v>
                </c:pt>
                <c:pt idx="10">
                  <c:v>-5.68</c:v>
                </c:pt>
                <c:pt idx="11">
                  <c:v>-4.7300000000000004</c:v>
                </c:pt>
                <c:pt idx="12">
                  <c:v>-3.78</c:v>
                </c:pt>
                <c:pt idx="13">
                  <c:v>-2.84</c:v>
                </c:pt>
                <c:pt idx="14">
                  <c:v>-1.89</c:v>
                </c:pt>
                <c:pt idx="15">
                  <c:v>-0.95</c:v>
                </c:pt>
                <c:pt idx="16">
                  <c:v>0</c:v>
                </c:pt>
                <c:pt idx="17">
                  <c:v>0.95</c:v>
                </c:pt>
                <c:pt idx="18">
                  <c:v>1.89</c:v>
                </c:pt>
                <c:pt idx="19">
                  <c:v>2.84</c:v>
                </c:pt>
                <c:pt idx="20">
                  <c:v>3.78</c:v>
                </c:pt>
                <c:pt idx="21">
                  <c:v>4.7300000000000004</c:v>
                </c:pt>
                <c:pt idx="22">
                  <c:v>5.68</c:v>
                </c:pt>
                <c:pt idx="23">
                  <c:v>6.63</c:v>
                </c:pt>
                <c:pt idx="24">
                  <c:v>7.59</c:v>
                </c:pt>
                <c:pt idx="25">
                  <c:v>8.5399999999999991</c:v>
                </c:pt>
                <c:pt idx="26">
                  <c:v>9.5</c:v>
                </c:pt>
                <c:pt idx="27">
                  <c:v>10.46</c:v>
                </c:pt>
                <c:pt idx="28">
                  <c:v>11.42</c:v>
                </c:pt>
                <c:pt idx="29">
                  <c:v>12.39</c:v>
                </c:pt>
              </c:numCache>
            </c:numRef>
          </c:cat>
          <c:val>
            <c:numRef>
              <c:f>Графики!$H$2:$H$31</c:f>
              <c:numCache>
                <c:formatCode>General</c:formatCode>
                <c:ptCount val="30"/>
                <c:pt idx="0">
                  <c:v>0</c:v>
                </c:pt>
                <c:pt idx="1">
                  <c:v>0</c:v>
                </c:pt>
                <c:pt idx="2">
                  <c:v>0</c:v>
                </c:pt>
                <c:pt idx="3">
                  <c:v>0</c:v>
                </c:pt>
                <c:pt idx="4">
                  <c:v>0</c:v>
                </c:pt>
                <c:pt idx="5">
                  <c:v>0</c:v>
                </c:pt>
                <c:pt idx="6">
                  <c:v>0</c:v>
                </c:pt>
                <c:pt idx="7">
                  <c:v>0</c:v>
                </c:pt>
                <c:pt idx="8">
                  <c:v>0</c:v>
                </c:pt>
                <c:pt idx="9">
                  <c:v>3</c:v>
                </c:pt>
                <c:pt idx="10">
                  <c:v>1</c:v>
                </c:pt>
                <c:pt idx="11">
                  <c:v>3</c:v>
                </c:pt>
                <c:pt idx="12">
                  <c:v>4</c:v>
                </c:pt>
                <c:pt idx="13">
                  <c:v>2</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ser>
        <c:dLbls>
          <c:showLegendKey val="0"/>
          <c:showVal val="0"/>
          <c:showCatName val="0"/>
          <c:showSerName val="0"/>
          <c:showPercent val="0"/>
          <c:showBubbleSize val="0"/>
        </c:dLbls>
        <c:marker val="1"/>
        <c:smooth val="0"/>
        <c:axId val="578845960"/>
        <c:axId val="578846352"/>
      </c:lineChart>
      <c:scatterChart>
        <c:scatterStyle val="smoothMarker"/>
        <c:varyColors val="0"/>
        <c:ser>
          <c:idx val="2"/>
          <c:order val="2"/>
          <c:tx>
            <c:v>Кривая</c:v>
          </c:tx>
          <c:spPr>
            <a:ln w="25400">
              <a:solidFill>
                <a:srgbClr val="FF0000"/>
              </a:solidFill>
            </a:ln>
          </c:spPr>
          <c:marker>
            <c:symbol val="none"/>
          </c:marker>
          <c:yVal>
            <c:numRef>
              <c:f>Графики!$H$2:$H$31</c:f>
              <c:numCache>
                <c:formatCode>General</c:formatCode>
                <c:ptCount val="30"/>
                <c:pt idx="0">
                  <c:v>0</c:v>
                </c:pt>
                <c:pt idx="1">
                  <c:v>0</c:v>
                </c:pt>
                <c:pt idx="2">
                  <c:v>0</c:v>
                </c:pt>
                <c:pt idx="3">
                  <c:v>0</c:v>
                </c:pt>
                <c:pt idx="4">
                  <c:v>0</c:v>
                </c:pt>
                <c:pt idx="5">
                  <c:v>0</c:v>
                </c:pt>
                <c:pt idx="6">
                  <c:v>0</c:v>
                </c:pt>
                <c:pt idx="7">
                  <c:v>0</c:v>
                </c:pt>
                <c:pt idx="8">
                  <c:v>0</c:v>
                </c:pt>
                <c:pt idx="9">
                  <c:v>3</c:v>
                </c:pt>
                <c:pt idx="10">
                  <c:v>1</c:v>
                </c:pt>
                <c:pt idx="11">
                  <c:v>3</c:v>
                </c:pt>
                <c:pt idx="12">
                  <c:v>4</c:v>
                </c:pt>
                <c:pt idx="13">
                  <c:v>2</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1"/>
        </c:ser>
        <c:ser>
          <c:idx val="5"/>
          <c:order val="3"/>
          <c:tx>
            <c:v>Нижняя граница допустимого</c:v>
          </c:tx>
          <c:spPr>
            <a:ln w="25400">
              <a:solidFill>
                <a:srgbClr val="FF0000"/>
              </a:solidFill>
            </a:ln>
          </c:spPr>
          <c:marker>
            <c:symbol val="none"/>
          </c:marker>
          <c:xVal>
            <c:numRef>
              <c:f>'ИД и расчеты'!$E$245:$E$246</c:f>
              <c:numCache>
                <c:formatCode>0.00</c:formatCode>
                <c:ptCount val="2"/>
                <c:pt idx="0">
                  <c:v>1</c:v>
                </c:pt>
                <c:pt idx="1">
                  <c:v>1</c:v>
                </c:pt>
              </c:numCache>
            </c:numRef>
          </c:xVal>
          <c:yVal>
            <c:numRef>
              <c:f>'ИД и расчеты'!$D$245:$D$246</c:f>
              <c:numCache>
                <c:formatCode>0.00</c:formatCode>
                <c:ptCount val="2"/>
                <c:pt idx="0">
                  <c:v>0</c:v>
                </c:pt>
                <c:pt idx="1">
                  <c:v>6</c:v>
                </c:pt>
              </c:numCache>
            </c:numRef>
          </c:yVal>
          <c:smooth val="1"/>
        </c:ser>
        <c:ser>
          <c:idx val="6"/>
          <c:order val="4"/>
          <c:tx>
            <c:v>Верхняя граница допустимого</c:v>
          </c:tx>
          <c:spPr>
            <a:ln w="25400">
              <a:solidFill>
                <a:srgbClr val="FF0000"/>
              </a:solidFill>
            </a:ln>
          </c:spPr>
          <c:marker>
            <c:symbol val="none"/>
          </c:marker>
          <c:xVal>
            <c:numRef>
              <c:f>'ИД и расчеты'!$I$245:$I$246</c:f>
              <c:numCache>
                <c:formatCode>0.00</c:formatCode>
                <c:ptCount val="2"/>
                <c:pt idx="0">
                  <c:v>21</c:v>
                </c:pt>
                <c:pt idx="1">
                  <c:v>21</c:v>
                </c:pt>
              </c:numCache>
            </c:numRef>
          </c:xVal>
          <c:yVal>
            <c:numRef>
              <c:f>'ИД и расчеты'!$J$245:$J$246</c:f>
              <c:numCache>
                <c:formatCode>General</c:formatCode>
                <c:ptCount val="2"/>
                <c:pt idx="0">
                  <c:v>0</c:v>
                </c:pt>
                <c:pt idx="1">
                  <c:v>6</c:v>
                </c:pt>
              </c:numCache>
            </c:numRef>
          </c:yVal>
          <c:smooth val="1"/>
        </c:ser>
        <c:ser>
          <c:idx val="3"/>
          <c:order val="5"/>
          <c:tx>
            <c:v>Нижний диапазон</c:v>
          </c:tx>
          <c:spPr>
            <a:ln w="25400">
              <a:solidFill>
                <a:srgbClr val="00B050"/>
              </a:solidFill>
            </a:ln>
          </c:spPr>
          <c:marker>
            <c:symbol val="none"/>
          </c:marker>
          <c:xVal>
            <c:numRef>
              <c:f>'ИД и расчеты'!$C$245:$C$246</c:f>
              <c:numCache>
                <c:formatCode>0.00</c:formatCode>
                <c:ptCount val="2"/>
                <c:pt idx="0">
                  <c:v>1</c:v>
                </c:pt>
                <c:pt idx="1">
                  <c:v>1</c:v>
                </c:pt>
              </c:numCache>
            </c:numRef>
          </c:xVal>
          <c:yVal>
            <c:numRef>
              <c:f>'ИД и расчеты'!$D$245:$D$246</c:f>
              <c:numCache>
                <c:formatCode>0.00</c:formatCode>
                <c:ptCount val="2"/>
                <c:pt idx="0">
                  <c:v>0</c:v>
                </c:pt>
                <c:pt idx="1">
                  <c:v>6</c:v>
                </c:pt>
              </c:numCache>
            </c:numRef>
          </c:yVal>
          <c:smooth val="1"/>
        </c:ser>
        <c:ser>
          <c:idx val="4"/>
          <c:order val="6"/>
          <c:tx>
            <c:v>Верхний диапазон</c:v>
          </c:tx>
          <c:spPr>
            <a:ln w="25400">
              <a:solidFill>
                <a:srgbClr val="00B050"/>
              </a:solidFill>
            </a:ln>
          </c:spPr>
          <c:marker>
            <c:symbol val="none"/>
          </c:marker>
          <c:xVal>
            <c:numRef>
              <c:f>'ИД и расчеты'!$G$245:$G$246</c:f>
              <c:numCache>
                <c:formatCode>0.00</c:formatCode>
                <c:ptCount val="2"/>
                <c:pt idx="0">
                  <c:v>17</c:v>
                </c:pt>
                <c:pt idx="1">
                  <c:v>17</c:v>
                </c:pt>
              </c:numCache>
            </c:numRef>
          </c:xVal>
          <c:yVal>
            <c:numRef>
              <c:f>'ИД и расчеты'!$H$245:$H$246</c:f>
              <c:numCache>
                <c:formatCode>0.00</c:formatCode>
                <c:ptCount val="2"/>
                <c:pt idx="0">
                  <c:v>0</c:v>
                </c:pt>
                <c:pt idx="1">
                  <c:v>6</c:v>
                </c:pt>
              </c:numCache>
            </c:numRef>
          </c:yVal>
          <c:smooth val="1"/>
        </c:ser>
        <c:dLbls>
          <c:showLegendKey val="0"/>
          <c:showVal val="0"/>
          <c:showCatName val="0"/>
          <c:showSerName val="0"/>
          <c:showPercent val="0"/>
          <c:showBubbleSize val="0"/>
        </c:dLbls>
        <c:axId val="578845176"/>
        <c:axId val="578845568"/>
      </c:scatterChart>
      <c:catAx>
        <c:axId val="578845176"/>
        <c:scaling>
          <c:orientation val="minMax"/>
        </c:scaling>
        <c:delete val="0"/>
        <c:axPos val="b"/>
        <c:majorGridlines/>
        <c:numFmt formatCode="0" sourceLinked="0"/>
        <c:majorTickMark val="out"/>
        <c:minorTickMark val="none"/>
        <c:tickLblPos val="nextTo"/>
        <c:spPr>
          <a:ln w="12700" cap="flat">
            <a:solidFill>
              <a:srgbClr val="000000"/>
            </a:solidFill>
            <a:prstDash val="solid"/>
            <a:miter lim="800000"/>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8845568"/>
        <c:crosses val="autoZero"/>
        <c:auto val="1"/>
        <c:lblAlgn val="ctr"/>
        <c:lblOffset val="100"/>
        <c:tickLblSkip val="1"/>
        <c:tickMarkSkip val="1"/>
        <c:noMultiLvlLbl val="0"/>
      </c:catAx>
      <c:valAx>
        <c:axId val="578845568"/>
        <c:scaling>
          <c:orientation val="minMax"/>
          <c:max val="6"/>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8845176"/>
        <c:crosses val="autoZero"/>
        <c:crossBetween val="between"/>
        <c:majorUnit val="5"/>
      </c:valAx>
      <c:catAx>
        <c:axId val="578845960"/>
        <c:scaling>
          <c:orientation val="minMax"/>
        </c:scaling>
        <c:delete val="0"/>
        <c:axPos val="t"/>
        <c:numFmt formatCode="0.00" sourceLinked="0"/>
        <c:majorTickMark val="out"/>
        <c:minorTickMark val="none"/>
        <c:tickLblPos val="nextTo"/>
        <c:txPr>
          <a:bodyPr rot="-5400000" vert="horz"/>
          <a:lstStyle/>
          <a:p>
            <a:pPr>
              <a:defRPr sz="600" b="1"/>
            </a:pPr>
            <a:endParaRPr lang="ru-RU"/>
          </a:p>
        </c:txPr>
        <c:crossAx val="578846352"/>
        <c:crosses val="max"/>
        <c:auto val="1"/>
        <c:lblAlgn val="ctr"/>
        <c:lblOffset val="100"/>
        <c:noMultiLvlLbl val="0"/>
      </c:catAx>
      <c:valAx>
        <c:axId val="578846352"/>
        <c:scaling>
          <c:orientation val="minMax"/>
        </c:scaling>
        <c:delete val="1"/>
        <c:axPos val="r"/>
        <c:numFmt formatCode="General" sourceLinked="1"/>
        <c:majorTickMark val="out"/>
        <c:minorTickMark val="none"/>
        <c:tickLblPos val="nextTo"/>
        <c:crossAx val="578845960"/>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a:t>7. Распределение частоты </a:t>
            </a:r>
            <a:r>
              <a:rPr lang="de-DE"/>
              <a:t>HI </a:t>
            </a:r>
            <a:r>
              <a:rPr lang="ru-RU"/>
              <a:t>по классам</a:t>
            </a:r>
          </a:p>
        </c:rich>
      </c:tx>
      <c:layout>
        <c:manualLayout>
          <c:xMode val="edge"/>
          <c:yMode val="edge"/>
          <c:x val="0.25498632523875697"/>
          <c:y val="1.949851754641781E-2"/>
        </c:manualLayout>
      </c:layout>
      <c:overlay val="0"/>
      <c:spPr>
        <a:noFill/>
        <a:ln w="25400">
          <a:noFill/>
        </a:ln>
      </c:spPr>
    </c:title>
    <c:autoTitleDeleted val="0"/>
    <c:plotArea>
      <c:layout>
        <c:manualLayout>
          <c:layoutTarget val="inner"/>
          <c:xMode val="edge"/>
          <c:yMode val="edge"/>
          <c:x val="5.2706653522926396E-2"/>
          <c:y val="0.17721766971498312"/>
          <c:w val="0.92735220117365091"/>
          <c:h val="0.72250379964514644"/>
        </c:manualLayout>
      </c:layout>
      <c:barChart>
        <c:barDir val="col"/>
        <c:grouping val="clustered"/>
        <c:varyColors val="0"/>
        <c:ser>
          <c:idx val="0"/>
          <c:order val="0"/>
          <c:tx>
            <c:v>Точки</c:v>
          </c:tx>
          <c:spPr>
            <a:solidFill>
              <a:srgbClr val="993300"/>
            </a:solidFill>
            <a:ln w="12700">
              <a:solidFill>
                <a:srgbClr val="000000"/>
              </a:solidFill>
              <a:prstDash val="solid"/>
            </a:ln>
          </c:spPr>
          <c:invertIfNegative val="0"/>
          <c:cat>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cat>
          <c:val>
            <c:numRef>
              <c:f>Графики!$E$2:$E$32</c:f>
              <c:numCache>
                <c:formatCode>General</c:formatCode>
                <c:ptCount val="31"/>
                <c:pt idx="0">
                  <c:v>0</c:v>
                </c:pt>
                <c:pt idx="1">
                  <c:v>0</c:v>
                </c:pt>
                <c:pt idx="2">
                  <c:v>0</c:v>
                </c:pt>
                <c:pt idx="3">
                  <c:v>0</c:v>
                </c:pt>
                <c:pt idx="4">
                  <c:v>0</c:v>
                </c:pt>
                <c:pt idx="5">
                  <c:v>2</c:v>
                </c:pt>
                <c:pt idx="6">
                  <c:v>2</c:v>
                </c:pt>
                <c:pt idx="7">
                  <c:v>1</c:v>
                </c:pt>
                <c:pt idx="8">
                  <c:v>3</c:v>
                </c:pt>
                <c:pt idx="9">
                  <c:v>0</c:v>
                </c:pt>
                <c:pt idx="10">
                  <c:v>5</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axId val="578839296"/>
        <c:axId val="578838904"/>
      </c:barChart>
      <c:lineChart>
        <c:grouping val="standard"/>
        <c:varyColors val="0"/>
        <c:ser>
          <c:idx val="1"/>
          <c:order val="1"/>
          <c:tx>
            <c:v>Кривая фиктивная</c:v>
          </c:tx>
          <c:spPr>
            <a:ln w="25400">
              <a:noFill/>
              <a:prstDash val="solid"/>
            </a:ln>
          </c:spPr>
          <c:marker>
            <c:symbol val="none"/>
          </c:marker>
          <c:cat>
            <c:numRef>
              <c:f>Графики!$D$2:$D$33</c:f>
              <c:numCache>
                <c:formatCode>0.000</c:formatCode>
                <c:ptCount val="32"/>
                <c:pt idx="0">
                  <c:v>0.61599999999999999</c:v>
                </c:pt>
                <c:pt idx="1">
                  <c:v>0.63</c:v>
                </c:pt>
                <c:pt idx="2">
                  <c:v>0.64800000000000002</c:v>
                </c:pt>
                <c:pt idx="3">
                  <c:v>0.66600000000000004</c:v>
                </c:pt>
                <c:pt idx="4">
                  <c:v>0.68500000000000005</c:v>
                </c:pt>
                <c:pt idx="5">
                  <c:v>0.70399999999999996</c:v>
                </c:pt>
                <c:pt idx="6">
                  <c:v>0.72399999999999998</c:v>
                </c:pt>
                <c:pt idx="7">
                  <c:v>0.74399999999999999</c:v>
                </c:pt>
                <c:pt idx="8">
                  <c:v>0.76500000000000001</c:v>
                </c:pt>
                <c:pt idx="9">
                  <c:v>0.78600000000000003</c:v>
                </c:pt>
                <c:pt idx="10">
                  <c:v>0.80700000000000005</c:v>
                </c:pt>
                <c:pt idx="11">
                  <c:v>0.82899999999999996</c:v>
                </c:pt>
                <c:pt idx="12">
                  <c:v>0.85199999999999998</c:v>
                </c:pt>
                <c:pt idx="13">
                  <c:v>0.875</c:v>
                </c:pt>
                <c:pt idx="14">
                  <c:v>0.89900000000000002</c:v>
                </c:pt>
                <c:pt idx="15">
                  <c:v>0.92300000000000004</c:v>
                </c:pt>
                <c:pt idx="16">
                  <c:v>0.94799999999999995</c:v>
                </c:pt>
                <c:pt idx="17">
                  <c:v>0.97399999999999998</c:v>
                </c:pt>
                <c:pt idx="18">
                  <c:v>1</c:v>
                </c:pt>
                <c:pt idx="19">
                  <c:v>1.0269999999999999</c:v>
                </c:pt>
                <c:pt idx="20">
                  <c:v>1.0529999999999999</c:v>
                </c:pt>
                <c:pt idx="21">
                  <c:v>1.083</c:v>
                </c:pt>
                <c:pt idx="22">
                  <c:v>1.113</c:v>
                </c:pt>
                <c:pt idx="23">
                  <c:v>1.143</c:v>
                </c:pt>
                <c:pt idx="24">
                  <c:v>1.1739999999999999</c:v>
                </c:pt>
                <c:pt idx="25">
                  <c:v>1.206</c:v>
                </c:pt>
                <c:pt idx="26">
                  <c:v>1.2390000000000001</c:v>
                </c:pt>
                <c:pt idx="27">
                  <c:v>1.272</c:v>
                </c:pt>
                <c:pt idx="28">
                  <c:v>1.3080000000000001</c:v>
                </c:pt>
                <c:pt idx="29">
                  <c:v>1.3440000000000001</c:v>
                </c:pt>
                <c:pt idx="30">
                  <c:v>1.381</c:v>
                </c:pt>
                <c:pt idx="31">
                  <c:v>1.42</c:v>
                </c:pt>
              </c:numCache>
            </c:numRef>
          </c:cat>
          <c:val>
            <c:numRef>
              <c:f>Графики!$E$2:$E$33</c:f>
              <c:numCache>
                <c:formatCode>General</c:formatCode>
                <c:ptCount val="32"/>
                <c:pt idx="0">
                  <c:v>0</c:v>
                </c:pt>
                <c:pt idx="1">
                  <c:v>0</c:v>
                </c:pt>
                <c:pt idx="2">
                  <c:v>0</c:v>
                </c:pt>
                <c:pt idx="3">
                  <c:v>0</c:v>
                </c:pt>
                <c:pt idx="4">
                  <c:v>0</c:v>
                </c:pt>
                <c:pt idx="5">
                  <c:v>2</c:v>
                </c:pt>
                <c:pt idx="6">
                  <c:v>2</c:v>
                </c:pt>
                <c:pt idx="7">
                  <c:v>1</c:v>
                </c:pt>
                <c:pt idx="8">
                  <c:v>3</c:v>
                </c:pt>
                <c:pt idx="9">
                  <c:v>0</c:v>
                </c:pt>
                <c:pt idx="10">
                  <c:v>5</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ser>
        <c:dLbls>
          <c:showLegendKey val="0"/>
          <c:showVal val="0"/>
          <c:showCatName val="0"/>
          <c:showSerName val="0"/>
          <c:showPercent val="0"/>
          <c:showBubbleSize val="0"/>
        </c:dLbls>
        <c:marker val="1"/>
        <c:smooth val="0"/>
        <c:axId val="578847136"/>
        <c:axId val="578847528"/>
      </c:lineChart>
      <c:scatterChart>
        <c:scatterStyle val="smoothMarker"/>
        <c:varyColors val="0"/>
        <c:ser>
          <c:idx val="2"/>
          <c:order val="2"/>
          <c:tx>
            <c:v>Кривая</c:v>
          </c:tx>
          <c:spPr>
            <a:ln w="25400">
              <a:solidFill>
                <a:srgbClr val="FF0000"/>
              </a:solidFill>
            </a:ln>
          </c:spPr>
          <c:marker>
            <c:symbol val="none"/>
          </c:marker>
          <c:xVal>
            <c:strRef>
              <c:f>Графики!$F$2:$F$33</c:f>
              <c:strCache>
                <c:ptCount val="32"/>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pt idx="15">
                  <c:v>21</c:v>
                </c:pt>
                <c:pt idx="16">
                  <c:v>22</c:v>
                </c:pt>
                <c:pt idx="17">
                  <c:v>23</c:v>
                </c:pt>
                <c:pt idx="18">
                  <c:v>24</c:v>
                </c:pt>
                <c:pt idx="19">
                  <c:v>25</c:v>
                </c:pt>
                <c:pt idx="20">
                  <c:v>26</c:v>
                </c:pt>
                <c:pt idx="21">
                  <c:v>27</c:v>
                </c:pt>
                <c:pt idx="22">
                  <c:v>28</c:v>
                </c:pt>
                <c:pt idx="23">
                  <c:v>29</c:v>
                </c:pt>
                <c:pt idx="24">
                  <c:v>30</c:v>
                </c:pt>
                <c:pt idx="25">
                  <c:v>31</c:v>
                </c:pt>
                <c:pt idx="26">
                  <c:v>32</c:v>
                </c:pt>
                <c:pt idx="27">
                  <c:v>33</c:v>
                </c:pt>
                <c:pt idx="28">
                  <c:v>34</c:v>
                </c:pt>
                <c:pt idx="29">
                  <c:v>35</c:v>
                </c:pt>
                <c:pt idx="30">
                  <c:v>36</c:v>
                </c:pt>
                <c:pt idx="31">
                  <c:v>37</c:v>
                </c:pt>
              </c:strCache>
            </c:strRef>
          </c:xVal>
          <c:yVal>
            <c:numRef>
              <c:f>Графики!$E$2:$E$33</c:f>
              <c:numCache>
                <c:formatCode>General</c:formatCode>
                <c:ptCount val="32"/>
                <c:pt idx="0">
                  <c:v>0</c:v>
                </c:pt>
                <c:pt idx="1">
                  <c:v>0</c:v>
                </c:pt>
                <c:pt idx="2">
                  <c:v>0</c:v>
                </c:pt>
                <c:pt idx="3">
                  <c:v>0</c:v>
                </c:pt>
                <c:pt idx="4">
                  <c:v>0</c:v>
                </c:pt>
                <c:pt idx="5">
                  <c:v>2</c:v>
                </c:pt>
                <c:pt idx="6">
                  <c:v>2</c:v>
                </c:pt>
                <c:pt idx="7">
                  <c:v>1</c:v>
                </c:pt>
                <c:pt idx="8">
                  <c:v>3</c:v>
                </c:pt>
                <c:pt idx="9">
                  <c:v>0</c:v>
                </c:pt>
                <c:pt idx="10">
                  <c:v>5</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1"/>
        </c:ser>
        <c:ser>
          <c:idx val="5"/>
          <c:order val="3"/>
          <c:tx>
            <c:v>Нижняя граница</c:v>
          </c:tx>
          <c:spPr>
            <a:ln w="25400">
              <a:solidFill>
                <a:srgbClr val="FF0000"/>
              </a:solidFill>
            </a:ln>
          </c:spPr>
          <c:marker>
            <c:symbol val="none"/>
          </c:marker>
          <c:xVal>
            <c:numRef>
              <c:f>'ИД и расчеты'!$E$249:$E$250</c:f>
              <c:numCache>
                <c:formatCode>0.00</c:formatCode>
                <c:ptCount val="2"/>
                <c:pt idx="0">
                  <c:v>1</c:v>
                </c:pt>
                <c:pt idx="1">
                  <c:v>1</c:v>
                </c:pt>
              </c:numCache>
            </c:numRef>
          </c:xVal>
          <c:yVal>
            <c:numRef>
              <c:f>'ИД и расчеты'!$F$249:$F$250</c:f>
              <c:numCache>
                <c:formatCode>General</c:formatCode>
                <c:ptCount val="2"/>
                <c:pt idx="0">
                  <c:v>0</c:v>
                </c:pt>
                <c:pt idx="1">
                  <c:v>7</c:v>
                </c:pt>
              </c:numCache>
            </c:numRef>
          </c:yVal>
          <c:smooth val="1"/>
        </c:ser>
        <c:ser>
          <c:idx val="3"/>
          <c:order val="4"/>
          <c:tx>
            <c:v>Нижний диапазон допустимого</c:v>
          </c:tx>
          <c:spPr>
            <a:ln w="25400">
              <a:solidFill>
                <a:srgbClr val="00B050"/>
              </a:solidFill>
            </a:ln>
          </c:spPr>
          <c:marker>
            <c:symbol val="none"/>
          </c:marker>
          <c:xVal>
            <c:numRef>
              <c:f>'ИД и расчеты'!$C$249:$C$250</c:f>
              <c:numCache>
                <c:formatCode>0.00</c:formatCode>
                <c:ptCount val="2"/>
                <c:pt idx="0">
                  <c:v>1</c:v>
                </c:pt>
                <c:pt idx="1">
                  <c:v>1</c:v>
                </c:pt>
              </c:numCache>
            </c:numRef>
          </c:xVal>
          <c:yVal>
            <c:numRef>
              <c:f>'ИД и расчеты'!$D$249:$D$250</c:f>
              <c:numCache>
                <c:formatCode>0.00</c:formatCode>
                <c:ptCount val="2"/>
                <c:pt idx="0">
                  <c:v>0</c:v>
                </c:pt>
                <c:pt idx="1">
                  <c:v>7</c:v>
                </c:pt>
              </c:numCache>
            </c:numRef>
          </c:yVal>
          <c:smooth val="1"/>
        </c:ser>
        <c:ser>
          <c:idx val="6"/>
          <c:order val="5"/>
          <c:tx>
            <c:v>Верхняя граница допустимого</c:v>
          </c:tx>
          <c:spPr>
            <a:ln w="25400">
              <a:solidFill>
                <a:srgbClr val="FF0000"/>
              </a:solidFill>
            </a:ln>
          </c:spPr>
          <c:marker>
            <c:symbol val="none"/>
          </c:marker>
          <c:xVal>
            <c:numRef>
              <c:f>'ИД и расчеты'!$I$249:$I$250</c:f>
              <c:numCache>
                <c:formatCode>0.00</c:formatCode>
                <c:ptCount val="2"/>
                <c:pt idx="0">
                  <c:v>20</c:v>
                </c:pt>
                <c:pt idx="1">
                  <c:v>20</c:v>
                </c:pt>
              </c:numCache>
            </c:numRef>
          </c:xVal>
          <c:yVal>
            <c:numRef>
              <c:f>'ИД и расчеты'!$J$249:$J$250</c:f>
              <c:numCache>
                <c:formatCode>General</c:formatCode>
                <c:ptCount val="2"/>
                <c:pt idx="0">
                  <c:v>0</c:v>
                </c:pt>
                <c:pt idx="1">
                  <c:v>7</c:v>
                </c:pt>
              </c:numCache>
            </c:numRef>
          </c:yVal>
          <c:smooth val="1"/>
        </c:ser>
        <c:ser>
          <c:idx val="4"/>
          <c:order val="6"/>
          <c:tx>
            <c:v>Верхний диапазон</c:v>
          </c:tx>
          <c:spPr>
            <a:ln w="25400">
              <a:solidFill>
                <a:srgbClr val="00B050"/>
              </a:solidFill>
            </a:ln>
          </c:spPr>
          <c:marker>
            <c:symbol val="none"/>
          </c:marker>
          <c:xVal>
            <c:numRef>
              <c:f>'ИД и расчеты'!$G$249:$G$250</c:f>
              <c:numCache>
                <c:formatCode>0.00</c:formatCode>
                <c:ptCount val="2"/>
                <c:pt idx="0">
                  <c:v>16</c:v>
                </c:pt>
                <c:pt idx="1">
                  <c:v>16</c:v>
                </c:pt>
              </c:numCache>
            </c:numRef>
          </c:xVal>
          <c:yVal>
            <c:numRef>
              <c:f>'ИД и расчеты'!$H$249:$H$250</c:f>
              <c:numCache>
                <c:formatCode>0.00</c:formatCode>
                <c:ptCount val="2"/>
                <c:pt idx="0">
                  <c:v>0</c:v>
                </c:pt>
                <c:pt idx="1">
                  <c:v>7</c:v>
                </c:pt>
              </c:numCache>
            </c:numRef>
          </c:yVal>
          <c:smooth val="1"/>
        </c:ser>
        <c:dLbls>
          <c:showLegendKey val="0"/>
          <c:showVal val="0"/>
          <c:showCatName val="0"/>
          <c:showSerName val="0"/>
          <c:showPercent val="0"/>
          <c:showBubbleSize val="0"/>
        </c:dLbls>
        <c:axId val="578839296"/>
        <c:axId val="578838904"/>
      </c:scatterChart>
      <c:catAx>
        <c:axId val="578839296"/>
        <c:scaling>
          <c:orientation val="minMax"/>
        </c:scaling>
        <c:delete val="0"/>
        <c:axPos val="b"/>
        <c:majorGridlines/>
        <c:numFmt formatCode="0" sourceLinked="0"/>
        <c:majorTickMark val="out"/>
        <c:minorTickMark val="none"/>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8838904"/>
        <c:crosses val="autoZero"/>
        <c:auto val="1"/>
        <c:lblAlgn val="ctr"/>
        <c:lblOffset val="100"/>
        <c:tickLblSkip val="1"/>
        <c:tickMarkSkip val="1"/>
        <c:noMultiLvlLbl val="0"/>
      </c:catAx>
      <c:valAx>
        <c:axId val="578838904"/>
        <c:scaling>
          <c:orientation val="minMax"/>
          <c:max val="7"/>
          <c:min val="0"/>
        </c:scaling>
        <c:delete val="0"/>
        <c:axPos val="l"/>
        <c:majorGridlines>
          <c:spPr>
            <a:ln w="3175">
              <a:solidFill>
                <a:srgbClr val="898989"/>
              </a:solidFill>
              <a:prstDash val="solid"/>
            </a:ln>
          </c:spPr>
        </c:majorGridlines>
        <c:minorGridlines>
          <c:spPr>
            <a:ln w="3175">
              <a:solidFill>
                <a:srgbClr val="898989"/>
              </a:solidFill>
              <a:prstDash val="solid"/>
            </a:ln>
          </c:spPr>
        </c:minorGridlines>
        <c:numFmt formatCode="0" sourceLinked="0"/>
        <c:majorTickMark val="out"/>
        <c:minorTickMark val="in"/>
        <c:tickLblPos val="nextTo"/>
        <c:spPr>
          <a:ln w="12700">
            <a:solidFill>
              <a:srgbClr val="000000"/>
            </a:solidFill>
            <a:prstDash val="solid"/>
            <a:tailEnd type="stealth" w="med" len="lg"/>
          </a:ln>
        </c:spPr>
        <c:txPr>
          <a:bodyPr rot="0" vert="horz"/>
          <a:lstStyle/>
          <a:p>
            <a:pPr>
              <a:defRPr sz="700" b="1" i="0" u="none" strike="noStrike" baseline="0">
                <a:solidFill>
                  <a:srgbClr val="000000"/>
                </a:solidFill>
                <a:latin typeface="Arial Cyr"/>
                <a:ea typeface="Arial Cyr"/>
                <a:cs typeface="Arial Cyr"/>
              </a:defRPr>
            </a:pPr>
            <a:endParaRPr lang="ru-RU"/>
          </a:p>
        </c:txPr>
        <c:crossAx val="578839296"/>
        <c:crosses val="autoZero"/>
        <c:crossBetween val="between"/>
        <c:majorUnit val="5"/>
      </c:valAx>
      <c:catAx>
        <c:axId val="578847136"/>
        <c:scaling>
          <c:orientation val="minMax"/>
        </c:scaling>
        <c:delete val="0"/>
        <c:axPos val="t"/>
        <c:numFmt formatCode="0.000" sourceLinked="1"/>
        <c:majorTickMark val="out"/>
        <c:minorTickMark val="none"/>
        <c:tickLblPos val="nextTo"/>
        <c:txPr>
          <a:bodyPr rot="-5400000" vert="horz"/>
          <a:lstStyle/>
          <a:p>
            <a:pPr>
              <a:defRPr sz="600" b="1"/>
            </a:pPr>
            <a:endParaRPr lang="ru-RU"/>
          </a:p>
        </c:txPr>
        <c:crossAx val="578847528"/>
        <c:crosses val="max"/>
        <c:auto val="1"/>
        <c:lblAlgn val="ctr"/>
        <c:lblOffset val="100"/>
        <c:tickMarkSkip val="1"/>
        <c:noMultiLvlLbl val="0"/>
      </c:catAx>
      <c:valAx>
        <c:axId val="578847528"/>
        <c:scaling>
          <c:orientation val="minMax"/>
        </c:scaling>
        <c:delete val="1"/>
        <c:axPos val="r"/>
        <c:numFmt formatCode="General" sourceLinked="1"/>
        <c:majorTickMark val="out"/>
        <c:minorTickMark val="none"/>
        <c:tickLblPos val="nextTo"/>
        <c:crossAx val="578847136"/>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22860</xdr:colOff>
      <xdr:row>28</xdr:row>
      <xdr:rowOff>129540</xdr:rowOff>
    </xdr:from>
    <xdr:to>
      <xdr:col>8</xdr:col>
      <xdr:colOff>899160</xdr:colOff>
      <xdr:row>39</xdr:row>
      <xdr:rowOff>137160</xdr:rowOff>
    </xdr:to>
    <xdr:pic>
      <xdr:nvPicPr>
        <xdr:cNvPr id="2037" name="Picture 1" descr="Точки на крыле"/>
        <xdr:cNvPicPr>
          <a:picLocks noChangeAspect="1" noChangeArrowheads="1"/>
        </xdr:cNvPicPr>
      </xdr:nvPicPr>
      <xdr:blipFill>
        <a:blip xmlns:r="http://schemas.openxmlformats.org/officeDocument/2006/relationships" r:embed="rId1">
          <a:lum bright="4000"/>
        </a:blip>
        <a:srcRect/>
        <a:stretch>
          <a:fillRect/>
        </a:stretch>
      </xdr:blipFill>
      <xdr:spPr bwMode="auto">
        <a:xfrm>
          <a:off x="2926080" y="4404360"/>
          <a:ext cx="3078480" cy="1844040"/>
        </a:xfrm>
        <a:prstGeom prst="rect">
          <a:avLst/>
        </a:prstGeom>
        <a:noFill/>
        <a:ln w="12700">
          <a:solidFill>
            <a:srgbClr val="000000"/>
          </a:solidFill>
          <a:miter lim="800000"/>
          <a:headEnd/>
          <a:tailEnd/>
        </a:ln>
      </xdr:spPr>
    </xdr:pic>
    <xdr:clientData/>
  </xdr:twoCellAnchor>
  <xdr:twoCellAnchor>
    <xdr:from>
      <xdr:col>8</xdr:col>
      <xdr:colOff>922020</xdr:colOff>
      <xdr:row>28</xdr:row>
      <xdr:rowOff>129540</xdr:rowOff>
    </xdr:from>
    <xdr:to>
      <xdr:col>10</xdr:col>
      <xdr:colOff>22860</xdr:colOff>
      <xdr:row>39</xdr:row>
      <xdr:rowOff>137160</xdr:rowOff>
    </xdr:to>
    <xdr:pic>
      <xdr:nvPicPr>
        <xdr:cNvPr id="2038" name="Picture 3" descr="Точки на крыле TpsDig"/>
        <xdr:cNvPicPr>
          <a:picLocks noChangeAspect="1" noChangeArrowheads="1"/>
        </xdr:cNvPicPr>
      </xdr:nvPicPr>
      <xdr:blipFill>
        <a:blip xmlns:r="http://schemas.openxmlformats.org/officeDocument/2006/relationships" r:embed="rId2" cstate="print">
          <a:lum bright="10000"/>
        </a:blip>
        <a:srcRect/>
        <a:stretch>
          <a:fillRect/>
        </a:stretch>
      </xdr:blipFill>
      <xdr:spPr bwMode="auto">
        <a:xfrm>
          <a:off x="6027420" y="4404360"/>
          <a:ext cx="3093720" cy="1844040"/>
        </a:xfrm>
        <a:prstGeom prst="rect">
          <a:avLst/>
        </a:prstGeom>
        <a:noFill/>
        <a:ln w="12700">
          <a:solidFill>
            <a:srgbClr val="000000"/>
          </a:solidFill>
          <a:miter lim="800000"/>
          <a:headEnd/>
          <a:tailEnd/>
        </a:ln>
      </xdr:spPr>
    </xdr:pic>
    <xdr:clientData/>
  </xdr:twoCellAnchor>
  <xdr:twoCellAnchor>
    <xdr:from>
      <xdr:col>5</xdr:col>
      <xdr:colOff>32385</xdr:colOff>
      <xdr:row>27</xdr:row>
      <xdr:rowOff>17145</xdr:rowOff>
    </xdr:from>
    <xdr:to>
      <xdr:col>9</xdr:col>
      <xdr:colOff>600075</xdr:colOff>
      <xdr:row>28</xdr:row>
      <xdr:rowOff>95250</xdr:rowOff>
    </xdr:to>
    <xdr:sp macro="" textlink="">
      <xdr:nvSpPr>
        <xdr:cNvPr id="7172" name="Text Box 4"/>
        <xdr:cNvSpPr txBox="1">
          <a:spLocks noChangeArrowheads="1"/>
        </xdr:cNvSpPr>
      </xdr:nvSpPr>
      <xdr:spPr bwMode="auto">
        <a:xfrm>
          <a:off x="2937510" y="4141470"/>
          <a:ext cx="6149340" cy="230505"/>
        </a:xfrm>
        <a:prstGeom prst="rect">
          <a:avLst/>
        </a:prstGeom>
        <a:solidFill>
          <a:srgbClr val="FFFF00">
            <a:alpha val="60001"/>
          </a:srgbClr>
        </a:solidFill>
        <a:ln w="12700">
          <a:solidFill>
            <a:srgbClr val="000000"/>
          </a:solidFill>
          <a:miter lim="800000"/>
          <a:headEnd/>
          <a:tailEnd/>
        </a:ln>
      </xdr:spPr>
      <xdr:txBody>
        <a:bodyPr vertOverflow="clip" wrap="square" lIns="0" tIns="0" rIns="0" bIns="0" anchor="t" upright="1"/>
        <a:lstStyle/>
        <a:p>
          <a:pPr algn="ctr" rtl="0">
            <a:defRPr sz="1000"/>
          </a:pPr>
          <a:r>
            <a:rPr lang="ru-RU" sz="1000" b="1" i="0" u="none" strike="noStrike" baseline="0">
              <a:solidFill>
                <a:srgbClr val="993300"/>
              </a:solidFill>
              <a:latin typeface="Arial"/>
              <a:cs typeface="Arial"/>
            </a:rPr>
            <a:t>Порядок следования точек в программах CooRecorder (слева) и TpsDig (справа)</a:t>
          </a:r>
        </a:p>
      </xdr:txBody>
    </xdr:sp>
    <xdr:clientData/>
  </xdr:twoCellAnchor>
  <xdr:twoCellAnchor editAs="oneCell">
    <xdr:from>
      <xdr:col>8</xdr:col>
      <xdr:colOff>2651760</xdr:colOff>
      <xdr:row>17</xdr:row>
      <xdr:rowOff>152400</xdr:rowOff>
    </xdr:from>
    <xdr:to>
      <xdr:col>9</xdr:col>
      <xdr:colOff>541020</xdr:colOff>
      <xdr:row>26</xdr:row>
      <xdr:rowOff>68580</xdr:rowOff>
    </xdr:to>
    <xdr:pic>
      <xdr:nvPicPr>
        <xdr:cNvPr id="2040" name="Picture 19" descr="А ты знаешь породу своих пчел"/>
        <xdr:cNvPicPr>
          <a:picLocks noChangeAspect="1" noChangeArrowheads="1"/>
        </xdr:cNvPicPr>
      </xdr:nvPicPr>
      <xdr:blipFill>
        <a:blip xmlns:r="http://schemas.openxmlformats.org/officeDocument/2006/relationships" r:embed="rId3">
          <a:clrChange>
            <a:clrFrom>
              <a:srgbClr val="FEFEFE"/>
            </a:clrFrom>
            <a:clrTo>
              <a:srgbClr val="FEFEFE">
                <a:alpha val="0"/>
              </a:srgbClr>
            </a:clrTo>
          </a:clrChange>
        </a:blip>
        <a:srcRect/>
        <a:stretch>
          <a:fillRect/>
        </a:stretch>
      </xdr:blipFill>
      <xdr:spPr bwMode="auto">
        <a:xfrm>
          <a:off x="7757160" y="2750820"/>
          <a:ext cx="1272540" cy="128778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533400</xdr:colOff>
      <xdr:row>0</xdr:row>
      <xdr:rowOff>22860</xdr:rowOff>
    </xdr:from>
    <xdr:to>
      <xdr:col>17</xdr:col>
      <xdr:colOff>396240</xdr:colOff>
      <xdr:row>19</xdr:row>
      <xdr:rowOff>15240</xdr:rowOff>
    </xdr:to>
    <xdr:graphicFrame macro="">
      <xdr:nvGraphicFramePr>
        <xdr:cNvPr id="1475826" name="Диаграмма 2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541020</xdr:colOff>
      <xdr:row>19</xdr:row>
      <xdr:rowOff>38100</xdr:rowOff>
    </xdr:from>
    <xdr:to>
      <xdr:col>17</xdr:col>
      <xdr:colOff>403860</xdr:colOff>
      <xdr:row>42</xdr:row>
      <xdr:rowOff>0</xdr:rowOff>
    </xdr:to>
    <xdr:graphicFrame macro="">
      <xdr:nvGraphicFramePr>
        <xdr:cNvPr id="1475827" name="Диаграмма 3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74</xdr:row>
      <xdr:rowOff>83820</xdr:rowOff>
    </xdr:from>
    <xdr:to>
      <xdr:col>0</xdr:col>
      <xdr:colOff>0</xdr:colOff>
      <xdr:row>74</xdr:row>
      <xdr:rowOff>83820</xdr:rowOff>
    </xdr:to>
    <xdr:sp macro="" textlink="">
      <xdr:nvSpPr>
        <xdr:cNvPr id="1475828" name="Rectangle 1050"/>
        <xdr:cNvSpPr>
          <a:spLocks noChangeArrowheads="1"/>
        </xdr:cNvSpPr>
      </xdr:nvSpPr>
      <xdr:spPr bwMode="auto">
        <a:xfrm>
          <a:off x="0" y="12656820"/>
          <a:ext cx="0" cy="0"/>
        </a:xfrm>
        <a:prstGeom prst="rect">
          <a:avLst/>
        </a:prstGeom>
        <a:solidFill>
          <a:srgbClr val="FFFFFF">
            <a:alpha val="0"/>
          </a:srgbClr>
        </a:solidFill>
        <a:ln w="19050">
          <a:solidFill>
            <a:srgbClr val="FF0000"/>
          </a:solidFill>
          <a:miter lim="800000"/>
          <a:headEnd/>
          <a:tailEnd/>
        </a:ln>
      </xdr:spPr>
    </xdr:sp>
    <xdr:clientData/>
  </xdr:twoCellAnchor>
  <xdr:twoCellAnchor>
    <xdr:from>
      <xdr:col>0</xdr:col>
      <xdr:colOff>30480</xdr:colOff>
      <xdr:row>19</xdr:row>
      <xdr:rowOff>38100</xdr:rowOff>
    </xdr:from>
    <xdr:to>
      <xdr:col>8</xdr:col>
      <xdr:colOff>525780</xdr:colOff>
      <xdr:row>41</xdr:row>
      <xdr:rowOff>167640</xdr:rowOff>
    </xdr:to>
    <xdr:graphicFrame macro="">
      <xdr:nvGraphicFramePr>
        <xdr:cNvPr id="1475829" name="Диаграмма 1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xdr:colOff>
      <xdr:row>0</xdr:row>
      <xdr:rowOff>22860</xdr:rowOff>
    </xdr:from>
    <xdr:to>
      <xdr:col>8</xdr:col>
      <xdr:colOff>518160</xdr:colOff>
      <xdr:row>19</xdr:row>
      <xdr:rowOff>15240</xdr:rowOff>
    </xdr:to>
    <xdr:graphicFrame macro="">
      <xdr:nvGraphicFramePr>
        <xdr:cNvPr id="1475830" name="Диаграмма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0.72429</cdr:x>
      <cdr:y>0.49977</cdr:y>
    </cdr:from>
    <cdr:to>
      <cdr:x>0.95819</cdr:x>
      <cdr:y>0.86763</cdr:y>
    </cdr:to>
    <cdr:sp macro="" textlink="">
      <cdr:nvSpPr>
        <cdr:cNvPr id="2" name="TextBox 1"/>
        <cdr:cNvSpPr txBox="1"/>
      </cdr:nvSpPr>
      <cdr:spPr>
        <a:xfrm xmlns:a="http://schemas.openxmlformats.org/drawingml/2006/main">
          <a:off x="3907516" y="1639824"/>
          <a:ext cx="1261881" cy="1207008"/>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Данная цветовая схема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применена на всех </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для выделения</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областей породных</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диапазонов.</a:t>
          </a:r>
        </a:p>
        <a:p xmlns:a="http://schemas.openxmlformats.org/drawingml/2006/main">
          <a:pPr algn="ctr">
            <a:defRPr sz="700" b="1" i="0" u="none" strike="noStrike" kern="1200" baseline="0">
              <a:solidFill>
                <a:srgbClr val="000000"/>
              </a:solidFill>
              <a:latin typeface="Arial Cyr"/>
              <a:ea typeface="Arial Cyr"/>
              <a:cs typeface="Arial Cyr"/>
            </a:defRPr>
          </a:pPr>
          <a:endParaRPr lang="en-US" sz="800" b="1" i="1" u="none" strike="noStrike" kern="1200" baseline="0">
            <a:solidFill>
              <a:srgbClr val="000000"/>
            </a:solidFill>
            <a:latin typeface="Arial Cyr"/>
            <a:ea typeface="Arial Cyr"/>
            <a:cs typeface="Arial Cyr"/>
          </a:endParaRP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Красной линией на</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графиках выделен</a:t>
          </a:r>
        </a:p>
        <a:p xmlns:a="http://schemas.openxmlformats.org/drawingml/2006/main">
          <a:pPr algn="ctr">
            <a:defRPr sz="700" b="1" i="0" u="none" strike="noStrike" kern="1200" baseline="0">
              <a:solidFill>
                <a:srgbClr val="000000"/>
              </a:solidFill>
              <a:latin typeface="Arial Cyr"/>
              <a:ea typeface="Arial Cyr"/>
              <a:cs typeface="Arial Cyr"/>
            </a:defRPr>
          </a:pPr>
          <a:r>
            <a:rPr lang="ru-RU" sz="800" b="1" i="1" u="none" strike="noStrike" kern="1200" baseline="0">
              <a:solidFill>
                <a:srgbClr val="000000"/>
              </a:solidFill>
              <a:latin typeface="Arial Cyr"/>
              <a:ea typeface="Arial Cyr"/>
              <a:cs typeface="Arial Cyr"/>
            </a:rPr>
            <a:t>доверительный интервал.</a:t>
          </a:r>
        </a:p>
      </cdr:txBody>
    </cdr:sp>
  </cdr:relSizeAnchor>
  <cdr:relSizeAnchor xmlns:cdr="http://schemas.openxmlformats.org/drawingml/2006/chartDrawing">
    <cdr:from>
      <cdr:x>0.70395</cdr:x>
      <cdr:y>0.268</cdr:y>
    </cdr:from>
    <cdr:to>
      <cdr:x>0.98757</cdr:x>
      <cdr:y>0.89735</cdr:y>
    </cdr:to>
    <cdr:sp macro="" textlink="">
      <cdr:nvSpPr>
        <cdr:cNvPr id="3" name="Скругленный прямоугольник 2"/>
        <cdr:cNvSpPr/>
      </cdr:nvSpPr>
      <cdr:spPr>
        <a:xfrm xmlns:a="http://schemas.openxmlformats.org/drawingml/2006/main">
          <a:off x="3797808" y="879354"/>
          <a:ext cx="1530096" cy="2065014"/>
        </a:xfrm>
        <a:prstGeom xmlns:a="http://schemas.openxmlformats.org/drawingml/2006/main" prst="roundRect">
          <a:avLst/>
        </a:prstGeom>
        <a:noFill xmlns:a="http://schemas.openxmlformats.org/drawingml/2006/main"/>
        <a:ln xmlns:a="http://schemas.openxmlformats.org/drawingml/2006/main" w="3175">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30480</xdr:colOff>
      <xdr:row>0</xdr:row>
      <xdr:rowOff>22860</xdr:rowOff>
    </xdr:from>
    <xdr:to>
      <xdr:col>8</xdr:col>
      <xdr:colOff>586740</xdr:colOff>
      <xdr:row>19</xdr:row>
      <xdr:rowOff>152400</xdr:rowOff>
    </xdr:to>
    <xdr:graphicFrame macro="">
      <xdr:nvGraphicFramePr>
        <xdr:cNvPr id="3326"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22860</xdr:colOff>
      <xdr:row>0</xdr:row>
      <xdr:rowOff>22860</xdr:rowOff>
    </xdr:from>
    <xdr:to>
      <xdr:col>8</xdr:col>
      <xdr:colOff>579120</xdr:colOff>
      <xdr:row>19</xdr:row>
      <xdr:rowOff>129540</xdr:rowOff>
    </xdr:to>
    <xdr:graphicFrame macro="">
      <xdr:nvGraphicFramePr>
        <xdr:cNvPr id="4350"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15240</xdr:colOff>
      <xdr:row>0</xdr:row>
      <xdr:rowOff>22860</xdr:rowOff>
    </xdr:from>
    <xdr:to>
      <xdr:col>8</xdr:col>
      <xdr:colOff>579120</xdr:colOff>
      <xdr:row>19</xdr:row>
      <xdr:rowOff>129540</xdr:rowOff>
    </xdr:to>
    <xdr:graphicFrame macro="">
      <xdr:nvGraphicFramePr>
        <xdr:cNvPr id="5374" name="Диаграмма 10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indexed="9"/>
    <pageSetUpPr fitToPage="1"/>
  </sheetPr>
  <dimension ref="A1:T263"/>
  <sheetViews>
    <sheetView showGridLines="0" topLeftCell="A91" workbookViewId="0">
      <selection activeCell="A105" sqref="A105:D204"/>
    </sheetView>
  </sheetViews>
  <sheetFormatPr defaultRowHeight="13.2" x14ac:dyDescent="0.25"/>
  <cols>
    <col min="1" max="15" width="12.6640625" style="17" customWidth="1"/>
    <col min="16" max="16" width="13.21875" style="17" customWidth="1"/>
  </cols>
  <sheetData>
    <row r="1" spans="1:20" x14ac:dyDescent="0.25">
      <c r="A1" s="188">
        <v>1</v>
      </c>
      <c r="B1" s="188"/>
      <c r="C1" s="188">
        <v>2</v>
      </c>
      <c r="D1" s="188"/>
      <c r="E1" s="188">
        <v>3</v>
      </c>
      <c r="F1" s="188"/>
      <c r="G1" s="188">
        <v>4</v>
      </c>
      <c r="H1" s="188"/>
      <c r="I1" s="188">
        <v>5</v>
      </c>
      <c r="J1" s="188"/>
      <c r="K1" s="188">
        <v>6</v>
      </c>
      <c r="L1" s="188"/>
      <c r="M1" s="188">
        <v>7</v>
      </c>
      <c r="N1" s="188"/>
      <c r="O1" s="188">
        <v>8</v>
      </c>
      <c r="P1" s="188"/>
      <c r="Q1" s="30" t="s">
        <v>143</v>
      </c>
      <c r="R1" t="b">
        <f>LEFT(J1,2)="LM"</f>
        <v>0</v>
      </c>
      <c r="S1" t="e">
        <f>VALUE(RIGHT(J1,LEN(J1)-3))</f>
        <v>#VALUE!</v>
      </c>
      <c r="T1" t="e">
        <f>ROUND(VALUE(RIGHT(J1,LEN(J1)-3)/8),0)&lt;&gt;VALUE(RIGHT(J1,LEN(J1)-3))/8</f>
        <v>#VALUE!</v>
      </c>
    </row>
    <row r="2" spans="1:20" x14ac:dyDescent="0.25">
      <c r="A2" s="29" t="s">
        <v>15</v>
      </c>
      <c r="B2" s="29" t="s">
        <v>16</v>
      </c>
      <c r="C2" s="29" t="s">
        <v>15</v>
      </c>
      <c r="D2" s="29" t="s">
        <v>16</v>
      </c>
      <c r="E2" s="29" t="s">
        <v>15</v>
      </c>
      <c r="F2" s="29" t="s">
        <v>16</v>
      </c>
      <c r="G2" s="29" t="s">
        <v>15</v>
      </c>
      <c r="H2" s="29" t="s">
        <v>16</v>
      </c>
      <c r="I2" s="29" t="s">
        <v>15</v>
      </c>
      <c r="J2" s="29" t="s">
        <v>16</v>
      </c>
      <c r="K2" s="29" t="s">
        <v>15</v>
      </c>
      <c r="L2" s="29" t="s">
        <v>16</v>
      </c>
      <c r="M2" s="29" t="s">
        <v>15</v>
      </c>
      <c r="N2" s="29" t="s">
        <v>16</v>
      </c>
      <c r="O2" s="29" t="s">
        <v>15</v>
      </c>
      <c r="P2" s="29" t="s">
        <v>16</v>
      </c>
      <c r="Q2" s="30"/>
    </row>
    <row r="3" spans="1:20" s="3" customFormat="1" x14ac:dyDescent="0.25">
      <c r="A3" s="75">
        <v>332</v>
      </c>
      <c r="B3" s="75">
        <v>782</v>
      </c>
      <c r="C3" s="75">
        <v>1836</v>
      </c>
      <c r="D3" s="75">
        <v>927</v>
      </c>
      <c r="E3" s="75">
        <v>1001</v>
      </c>
      <c r="F3" s="75">
        <v>779</v>
      </c>
      <c r="G3" s="75">
        <v>588</v>
      </c>
      <c r="H3" s="75">
        <v>707</v>
      </c>
      <c r="I3" s="75">
        <v>1017</v>
      </c>
      <c r="J3" s="75">
        <v>505</v>
      </c>
      <c r="K3" s="75">
        <v>1204</v>
      </c>
      <c r="L3" s="75">
        <v>439</v>
      </c>
      <c r="M3" s="75">
        <v>1330</v>
      </c>
      <c r="N3" s="75">
        <v>470</v>
      </c>
      <c r="O3" s="75">
        <v>987</v>
      </c>
      <c r="P3" s="75">
        <v>113</v>
      </c>
      <c r="Q3" s="75"/>
    </row>
    <row r="4" spans="1:20" x14ac:dyDescent="0.25">
      <c r="A4" s="75">
        <v>283</v>
      </c>
      <c r="B4" s="75">
        <v>782</v>
      </c>
      <c r="C4" s="75">
        <v>1822</v>
      </c>
      <c r="D4" s="75">
        <v>933</v>
      </c>
      <c r="E4" s="75">
        <v>986</v>
      </c>
      <c r="F4" s="75">
        <v>783</v>
      </c>
      <c r="G4" s="75">
        <v>524</v>
      </c>
      <c r="H4" s="75">
        <v>704</v>
      </c>
      <c r="I4" s="75">
        <v>993</v>
      </c>
      <c r="J4" s="75">
        <v>497</v>
      </c>
      <c r="K4" s="75">
        <v>1226</v>
      </c>
      <c r="L4" s="75">
        <v>421</v>
      </c>
      <c r="M4" s="75">
        <v>1349</v>
      </c>
      <c r="N4" s="75">
        <v>456</v>
      </c>
      <c r="O4" s="75">
        <v>993</v>
      </c>
      <c r="P4" s="75">
        <v>80</v>
      </c>
      <c r="Q4" s="75"/>
    </row>
    <row r="5" spans="1:20" x14ac:dyDescent="0.25">
      <c r="A5" s="75">
        <v>341</v>
      </c>
      <c r="B5" s="75">
        <v>716</v>
      </c>
      <c r="C5" s="75">
        <v>1880</v>
      </c>
      <c r="D5" s="75">
        <v>945</v>
      </c>
      <c r="E5" s="75">
        <v>1048</v>
      </c>
      <c r="F5" s="75">
        <v>761</v>
      </c>
      <c r="G5" s="75">
        <v>605</v>
      </c>
      <c r="H5" s="75">
        <v>655</v>
      </c>
      <c r="I5" s="75">
        <v>1058</v>
      </c>
      <c r="J5" s="75">
        <v>486</v>
      </c>
      <c r="K5" s="75">
        <v>1283</v>
      </c>
      <c r="L5" s="75">
        <v>427</v>
      </c>
      <c r="M5" s="75">
        <v>1419</v>
      </c>
      <c r="N5" s="75">
        <v>466</v>
      </c>
      <c r="O5" s="75">
        <v>1079</v>
      </c>
      <c r="P5" s="75">
        <v>87</v>
      </c>
      <c r="Q5" s="75"/>
    </row>
    <row r="6" spans="1:20" x14ac:dyDescent="0.25">
      <c r="A6" s="75">
        <v>309</v>
      </c>
      <c r="B6" s="75">
        <v>782</v>
      </c>
      <c r="C6" s="75">
        <v>1828</v>
      </c>
      <c r="D6" s="75">
        <v>934</v>
      </c>
      <c r="E6" s="75">
        <v>984</v>
      </c>
      <c r="F6" s="75">
        <v>803</v>
      </c>
      <c r="G6" s="75">
        <v>546</v>
      </c>
      <c r="H6" s="75">
        <v>718</v>
      </c>
      <c r="I6" s="75">
        <v>989</v>
      </c>
      <c r="J6" s="75">
        <v>526</v>
      </c>
      <c r="K6" s="75">
        <v>1222</v>
      </c>
      <c r="L6" s="75">
        <v>464</v>
      </c>
      <c r="M6" s="75">
        <v>1339</v>
      </c>
      <c r="N6" s="75">
        <v>495</v>
      </c>
      <c r="O6" s="75">
        <v>994</v>
      </c>
      <c r="P6" s="75">
        <v>120</v>
      </c>
      <c r="Q6" s="75"/>
    </row>
    <row r="7" spans="1:20" x14ac:dyDescent="0.25">
      <c r="A7" s="75">
        <v>296</v>
      </c>
      <c r="B7" s="75">
        <v>777</v>
      </c>
      <c r="C7" s="75">
        <v>1839</v>
      </c>
      <c r="D7" s="75">
        <v>900</v>
      </c>
      <c r="E7" s="75">
        <v>977</v>
      </c>
      <c r="F7" s="75">
        <v>772</v>
      </c>
      <c r="G7" s="75">
        <v>528</v>
      </c>
      <c r="H7" s="75">
        <v>702</v>
      </c>
      <c r="I7" s="75">
        <v>998</v>
      </c>
      <c r="J7" s="75">
        <v>488</v>
      </c>
      <c r="K7" s="75">
        <v>1177</v>
      </c>
      <c r="L7" s="75">
        <v>420</v>
      </c>
      <c r="M7" s="75">
        <v>1310</v>
      </c>
      <c r="N7" s="75">
        <v>447</v>
      </c>
      <c r="O7" s="75">
        <v>944</v>
      </c>
      <c r="P7" s="75">
        <v>97</v>
      </c>
      <c r="Q7" s="75"/>
    </row>
    <row r="8" spans="1:20" x14ac:dyDescent="0.25">
      <c r="A8" s="75">
        <v>303</v>
      </c>
      <c r="B8" s="75">
        <v>758</v>
      </c>
      <c r="C8" s="75">
        <v>1805</v>
      </c>
      <c r="D8" s="75">
        <v>918</v>
      </c>
      <c r="E8" s="75">
        <v>947</v>
      </c>
      <c r="F8" s="75">
        <v>763</v>
      </c>
      <c r="G8" s="75">
        <v>536</v>
      </c>
      <c r="H8" s="75">
        <v>685</v>
      </c>
      <c r="I8" s="75">
        <v>982</v>
      </c>
      <c r="J8" s="75">
        <v>485</v>
      </c>
      <c r="K8" s="75">
        <v>1182</v>
      </c>
      <c r="L8" s="75">
        <v>420</v>
      </c>
      <c r="M8" s="75">
        <v>1314</v>
      </c>
      <c r="N8" s="75">
        <v>452</v>
      </c>
      <c r="O8" s="75">
        <v>973</v>
      </c>
      <c r="P8" s="75">
        <v>90</v>
      </c>
      <c r="Q8" s="75"/>
    </row>
    <row r="9" spans="1:20" x14ac:dyDescent="0.25">
      <c r="A9" s="75">
        <v>344</v>
      </c>
      <c r="B9" s="75">
        <v>735</v>
      </c>
      <c r="C9" s="75">
        <v>1852</v>
      </c>
      <c r="D9" s="75">
        <v>938</v>
      </c>
      <c r="E9" s="75">
        <v>1052</v>
      </c>
      <c r="F9" s="75">
        <v>767</v>
      </c>
      <c r="G9" s="75">
        <v>602</v>
      </c>
      <c r="H9" s="75">
        <v>676</v>
      </c>
      <c r="I9" s="75">
        <v>1036</v>
      </c>
      <c r="J9" s="75">
        <v>495</v>
      </c>
      <c r="K9" s="75">
        <v>1253</v>
      </c>
      <c r="L9" s="75">
        <v>425</v>
      </c>
      <c r="M9" s="75">
        <v>1385</v>
      </c>
      <c r="N9" s="75">
        <v>462</v>
      </c>
      <c r="O9" s="75">
        <v>1045</v>
      </c>
      <c r="P9" s="75">
        <v>89</v>
      </c>
      <c r="Q9" s="75"/>
    </row>
    <row r="10" spans="1:20" x14ac:dyDescent="0.25">
      <c r="A10" s="75">
        <v>335</v>
      </c>
      <c r="B10" s="75">
        <v>817</v>
      </c>
      <c r="C10" s="75">
        <v>1867</v>
      </c>
      <c r="D10" s="75">
        <v>937</v>
      </c>
      <c r="E10" s="75">
        <v>1027</v>
      </c>
      <c r="F10" s="75">
        <v>809</v>
      </c>
      <c r="G10" s="75">
        <v>598</v>
      </c>
      <c r="H10" s="75">
        <v>739</v>
      </c>
      <c r="I10" s="75">
        <v>1033</v>
      </c>
      <c r="J10" s="75">
        <v>536</v>
      </c>
      <c r="K10" s="75">
        <v>1244</v>
      </c>
      <c r="L10" s="75">
        <v>467</v>
      </c>
      <c r="M10" s="75">
        <v>1378</v>
      </c>
      <c r="N10" s="75">
        <v>499</v>
      </c>
      <c r="O10" s="75">
        <v>1014</v>
      </c>
      <c r="P10" s="75">
        <v>134</v>
      </c>
      <c r="Q10" s="75"/>
    </row>
    <row r="11" spans="1:20" x14ac:dyDescent="0.25">
      <c r="A11" s="75">
        <v>387</v>
      </c>
      <c r="B11" s="75">
        <v>762</v>
      </c>
      <c r="C11" s="75">
        <v>1891</v>
      </c>
      <c r="D11" s="75">
        <v>913</v>
      </c>
      <c r="E11" s="75">
        <v>1066</v>
      </c>
      <c r="F11" s="75">
        <v>758</v>
      </c>
      <c r="G11" s="75">
        <v>635</v>
      </c>
      <c r="H11" s="75">
        <v>683</v>
      </c>
      <c r="I11" s="75">
        <v>1110</v>
      </c>
      <c r="J11" s="75">
        <v>469</v>
      </c>
      <c r="K11" s="75">
        <v>1295</v>
      </c>
      <c r="L11" s="75">
        <v>408</v>
      </c>
      <c r="M11" s="75">
        <v>1434</v>
      </c>
      <c r="N11" s="75">
        <v>442</v>
      </c>
      <c r="O11" s="75">
        <v>1069</v>
      </c>
      <c r="P11" s="75">
        <v>71</v>
      </c>
      <c r="Q11" s="75"/>
    </row>
    <row r="12" spans="1:20" x14ac:dyDescent="0.25">
      <c r="A12" s="75">
        <v>333</v>
      </c>
      <c r="B12" s="75">
        <v>751</v>
      </c>
      <c r="C12" s="75">
        <v>1875</v>
      </c>
      <c r="D12" s="75">
        <v>918</v>
      </c>
      <c r="E12" s="75">
        <v>1047</v>
      </c>
      <c r="F12" s="75">
        <v>767</v>
      </c>
      <c r="G12" s="75">
        <v>581</v>
      </c>
      <c r="H12" s="75">
        <v>682</v>
      </c>
      <c r="I12" s="75">
        <v>1051</v>
      </c>
      <c r="J12" s="75">
        <v>487</v>
      </c>
      <c r="K12" s="75">
        <v>1249</v>
      </c>
      <c r="L12" s="75">
        <v>429</v>
      </c>
      <c r="M12" s="75">
        <v>1381</v>
      </c>
      <c r="N12" s="75">
        <v>465</v>
      </c>
      <c r="O12" s="75">
        <v>1029</v>
      </c>
      <c r="P12" s="75">
        <v>86</v>
      </c>
      <c r="Q12" s="75"/>
    </row>
    <row r="13" spans="1:20" x14ac:dyDescent="0.25">
      <c r="A13" s="75">
        <v>352</v>
      </c>
      <c r="B13" s="75">
        <v>793</v>
      </c>
      <c r="C13" s="75">
        <v>1875</v>
      </c>
      <c r="D13" s="75">
        <v>953</v>
      </c>
      <c r="E13" s="75">
        <v>1028</v>
      </c>
      <c r="F13" s="75">
        <v>797</v>
      </c>
      <c r="G13" s="75">
        <v>585</v>
      </c>
      <c r="H13" s="75">
        <v>723</v>
      </c>
      <c r="I13" s="75">
        <v>1055</v>
      </c>
      <c r="J13" s="75">
        <v>519</v>
      </c>
      <c r="K13" s="75">
        <v>1244</v>
      </c>
      <c r="L13" s="75">
        <v>452</v>
      </c>
      <c r="M13" s="75">
        <v>1372</v>
      </c>
      <c r="N13" s="75">
        <v>482</v>
      </c>
      <c r="O13" s="75">
        <v>1038</v>
      </c>
      <c r="P13" s="75">
        <v>122</v>
      </c>
      <c r="Q13" s="75"/>
    </row>
    <row r="14" spans="1:20" x14ac:dyDescent="0.25">
      <c r="A14" s="75">
        <v>320</v>
      </c>
      <c r="B14" s="75">
        <v>774</v>
      </c>
      <c r="C14" s="75">
        <v>1853</v>
      </c>
      <c r="D14" s="75">
        <v>913</v>
      </c>
      <c r="E14" s="75">
        <v>1012</v>
      </c>
      <c r="F14" s="75">
        <v>783</v>
      </c>
      <c r="G14" s="75">
        <v>571</v>
      </c>
      <c r="H14" s="75">
        <v>702</v>
      </c>
      <c r="I14" s="75">
        <v>1031</v>
      </c>
      <c r="J14" s="75">
        <v>514</v>
      </c>
      <c r="K14" s="75">
        <v>1213</v>
      </c>
      <c r="L14" s="75">
        <v>455</v>
      </c>
      <c r="M14" s="75">
        <v>1354</v>
      </c>
      <c r="N14" s="75">
        <v>494</v>
      </c>
      <c r="O14" s="75">
        <v>1014</v>
      </c>
      <c r="P14" s="75">
        <v>146</v>
      </c>
      <c r="Q14" s="75"/>
    </row>
    <row r="15" spans="1:20" x14ac:dyDescent="0.25">
      <c r="A15" s="75">
        <v>317</v>
      </c>
      <c r="B15" s="75">
        <v>784</v>
      </c>
      <c r="C15" s="75">
        <v>1850</v>
      </c>
      <c r="D15" s="75">
        <v>906</v>
      </c>
      <c r="E15" s="75">
        <v>989</v>
      </c>
      <c r="F15" s="75">
        <v>771</v>
      </c>
      <c r="G15" s="75">
        <v>574</v>
      </c>
      <c r="H15" s="75">
        <v>706</v>
      </c>
      <c r="I15" s="75">
        <v>1012</v>
      </c>
      <c r="J15" s="75">
        <v>493</v>
      </c>
      <c r="K15" s="75">
        <v>1212</v>
      </c>
      <c r="L15" s="75">
        <v>418</v>
      </c>
      <c r="M15" s="75">
        <v>1343</v>
      </c>
      <c r="N15" s="75">
        <v>448</v>
      </c>
      <c r="O15" s="75">
        <v>997</v>
      </c>
      <c r="P15" s="75">
        <v>85</v>
      </c>
      <c r="Q15" s="75"/>
    </row>
    <row r="16" spans="1:20" x14ac:dyDescent="0.25">
      <c r="A16" s="75"/>
      <c r="B16" s="75"/>
      <c r="C16" s="75"/>
      <c r="D16" s="75"/>
      <c r="E16" s="75"/>
      <c r="F16" s="75"/>
      <c r="G16" s="75"/>
      <c r="H16" s="75"/>
      <c r="I16" s="75"/>
      <c r="J16" s="75"/>
      <c r="K16" s="75"/>
      <c r="L16" s="75"/>
      <c r="M16" s="75"/>
      <c r="N16" s="75"/>
      <c r="O16" s="75"/>
      <c r="P16" s="75"/>
      <c r="Q16" s="75"/>
    </row>
    <row r="17" spans="1:17" x14ac:dyDescent="0.25">
      <c r="A17" s="75"/>
      <c r="B17" s="75"/>
      <c r="C17" s="75"/>
      <c r="D17" s="75"/>
      <c r="E17" s="75"/>
      <c r="F17" s="75"/>
      <c r="G17" s="75"/>
      <c r="H17" s="75"/>
      <c r="I17" s="75"/>
      <c r="J17" s="75"/>
      <c r="K17" s="75"/>
      <c r="L17" s="75"/>
      <c r="M17" s="75"/>
      <c r="N17" s="75"/>
      <c r="O17" s="75"/>
      <c r="P17" s="75"/>
      <c r="Q17" s="75"/>
    </row>
    <row r="18" spans="1:17" x14ac:dyDescent="0.25">
      <c r="A18" s="75"/>
      <c r="B18" s="75"/>
      <c r="C18" s="75"/>
      <c r="D18" s="75"/>
      <c r="E18" s="75"/>
      <c r="F18" s="75"/>
      <c r="G18" s="75"/>
      <c r="H18" s="75"/>
      <c r="I18" s="75"/>
      <c r="J18" s="75"/>
      <c r="K18" s="75"/>
      <c r="L18" s="75"/>
      <c r="M18" s="75"/>
      <c r="N18" s="75"/>
      <c r="O18" s="75"/>
      <c r="P18" s="75"/>
      <c r="Q18" s="75"/>
    </row>
    <row r="19" spans="1:17" x14ac:dyDescent="0.25">
      <c r="A19" s="75"/>
      <c r="B19" s="75"/>
      <c r="C19" s="75"/>
      <c r="D19" s="75"/>
      <c r="E19" s="75"/>
      <c r="F19" s="75"/>
      <c r="G19" s="75"/>
      <c r="H19" s="75"/>
      <c r="I19" s="75"/>
      <c r="J19" s="75"/>
      <c r="K19" s="75"/>
      <c r="L19" s="75"/>
      <c r="M19" s="75"/>
      <c r="N19" s="75"/>
      <c r="O19" s="75"/>
      <c r="P19" s="75"/>
      <c r="Q19" s="75"/>
    </row>
    <row r="20" spans="1:17" x14ac:dyDescent="0.25">
      <c r="A20" s="75"/>
      <c r="B20" s="75"/>
      <c r="C20" s="75"/>
      <c r="D20" s="75"/>
      <c r="E20" s="75"/>
      <c r="F20" s="75"/>
      <c r="G20" s="75"/>
      <c r="H20" s="75"/>
      <c r="I20" s="75"/>
      <c r="J20" s="75"/>
      <c r="K20" s="75"/>
      <c r="L20" s="75"/>
      <c r="M20" s="75"/>
      <c r="N20" s="75"/>
      <c r="O20" s="75"/>
      <c r="P20" s="75"/>
      <c r="Q20" s="75"/>
    </row>
    <row r="21" spans="1:17" x14ac:dyDescent="0.25">
      <c r="A21" s="75"/>
      <c r="B21" s="75"/>
      <c r="C21" s="75"/>
      <c r="D21" s="75"/>
      <c r="E21" s="75"/>
      <c r="F21" s="75"/>
      <c r="G21" s="75"/>
      <c r="H21" s="75"/>
      <c r="I21" s="75"/>
      <c r="J21" s="75"/>
      <c r="K21" s="75"/>
      <c r="L21" s="75"/>
      <c r="M21" s="75"/>
      <c r="N21" s="75"/>
      <c r="O21" s="75"/>
      <c r="P21" s="75"/>
      <c r="Q21" s="75"/>
    </row>
    <row r="22" spans="1:17" x14ac:dyDescent="0.25">
      <c r="A22" s="75"/>
      <c r="B22" s="75"/>
      <c r="C22" s="75"/>
      <c r="D22" s="75"/>
      <c r="E22" s="75"/>
      <c r="F22" s="75"/>
      <c r="G22" s="75"/>
      <c r="H22" s="75"/>
      <c r="I22" s="75"/>
      <c r="J22" s="75"/>
      <c r="K22" s="75"/>
      <c r="L22" s="75"/>
      <c r="M22" s="75"/>
      <c r="N22" s="75"/>
      <c r="O22" s="75"/>
      <c r="P22" s="75"/>
      <c r="Q22" s="75"/>
    </row>
    <row r="23" spans="1:17" x14ac:dyDescent="0.25">
      <c r="A23" s="75"/>
      <c r="B23" s="75"/>
      <c r="C23" s="75"/>
      <c r="D23" s="75"/>
      <c r="E23" s="75"/>
      <c r="F23" s="75"/>
      <c r="G23" s="75"/>
      <c r="H23" s="75"/>
      <c r="I23" s="75"/>
      <c r="J23" s="75"/>
      <c r="K23" s="75"/>
      <c r="L23" s="75"/>
      <c r="M23" s="75"/>
      <c r="N23" s="75"/>
      <c r="O23" s="75"/>
      <c r="P23" s="75"/>
      <c r="Q23" s="75"/>
    </row>
    <row r="24" spans="1:17" x14ac:dyDescent="0.25">
      <c r="A24" s="75"/>
      <c r="B24" s="75"/>
      <c r="C24" s="75"/>
      <c r="D24" s="75"/>
      <c r="E24" s="75"/>
      <c r="F24" s="75"/>
      <c r="G24" s="75"/>
      <c r="H24" s="75"/>
      <c r="I24" s="75"/>
      <c r="J24" s="75"/>
      <c r="K24" s="75"/>
      <c r="L24" s="75"/>
      <c r="M24" s="75"/>
      <c r="N24" s="75"/>
      <c r="O24" s="75"/>
      <c r="P24" s="75"/>
      <c r="Q24" s="75"/>
    </row>
    <row r="25" spans="1:17" x14ac:dyDescent="0.25">
      <c r="A25" s="75"/>
      <c r="B25" s="75"/>
      <c r="C25" s="75"/>
      <c r="D25" s="75"/>
      <c r="E25" s="75"/>
      <c r="F25" s="75"/>
      <c r="G25" s="75"/>
      <c r="H25" s="75"/>
      <c r="I25" s="75"/>
      <c r="J25" s="75"/>
      <c r="K25" s="75"/>
      <c r="L25" s="75"/>
      <c r="M25" s="75"/>
      <c r="N25" s="75"/>
      <c r="O25" s="75"/>
      <c r="P25" s="75"/>
      <c r="Q25" s="75"/>
    </row>
    <row r="26" spans="1:17" x14ac:dyDescent="0.25">
      <c r="A26" s="75"/>
      <c r="B26" s="75"/>
      <c r="C26" s="75"/>
      <c r="D26" s="75"/>
      <c r="E26" s="75"/>
      <c r="F26" s="75"/>
      <c r="G26" s="75"/>
      <c r="H26" s="75"/>
      <c r="I26" s="75"/>
      <c r="J26" s="75"/>
      <c r="K26" s="75"/>
      <c r="L26" s="75"/>
      <c r="M26" s="75"/>
      <c r="N26" s="75"/>
      <c r="O26" s="75"/>
      <c r="P26" s="75"/>
      <c r="Q26" s="75"/>
    </row>
    <row r="27" spans="1:17" x14ac:dyDescent="0.25">
      <c r="A27" s="75"/>
      <c r="B27" s="75"/>
      <c r="C27" s="75"/>
      <c r="D27" s="75"/>
      <c r="E27" s="75"/>
      <c r="F27" s="75"/>
      <c r="G27" s="75"/>
      <c r="H27" s="75"/>
      <c r="I27" s="75"/>
      <c r="J27" s="75"/>
      <c r="K27" s="75"/>
      <c r="L27" s="75"/>
      <c r="M27" s="75"/>
      <c r="N27" s="75"/>
      <c r="O27" s="75"/>
      <c r="P27" s="75"/>
      <c r="Q27" s="75"/>
    </row>
    <row r="28" spans="1:17" x14ac:dyDescent="0.25">
      <c r="A28" s="75"/>
      <c r="B28" s="75"/>
      <c r="C28" s="75"/>
      <c r="D28" s="75"/>
      <c r="E28" s="75"/>
      <c r="F28" s="75"/>
      <c r="G28" s="75"/>
      <c r="H28" s="75"/>
      <c r="I28" s="75"/>
      <c r="J28" s="75"/>
      <c r="K28" s="75"/>
      <c r="L28" s="75"/>
      <c r="M28" s="75"/>
      <c r="N28" s="75"/>
      <c r="O28" s="75"/>
      <c r="P28" s="75"/>
      <c r="Q28" s="75"/>
    </row>
    <row r="29" spans="1:17" x14ac:dyDescent="0.25">
      <c r="A29" s="75"/>
      <c r="B29" s="75"/>
      <c r="C29" s="75"/>
      <c r="D29" s="75"/>
      <c r="E29" s="75"/>
      <c r="F29" s="75"/>
      <c r="G29" s="75"/>
      <c r="H29" s="75"/>
      <c r="I29" s="75"/>
      <c r="J29" s="75"/>
      <c r="K29" s="75"/>
      <c r="L29" s="75"/>
      <c r="M29" s="75"/>
      <c r="N29" s="75"/>
      <c r="O29" s="75"/>
      <c r="P29" s="75"/>
      <c r="Q29" s="75"/>
    </row>
    <row r="30" spans="1:17" x14ac:dyDescent="0.25">
      <c r="A30" s="75"/>
      <c r="B30" s="75"/>
      <c r="C30" s="75"/>
      <c r="D30" s="75"/>
      <c r="E30" s="75"/>
      <c r="F30" s="75"/>
      <c r="G30" s="75"/>
      <c r="H30" s="75"/>
      <c r="I30" s="75"/>
      <c r="J30" s="75"/>
      <c r="K30" s="75"/>
      <c r="L30" s="75"/>
      <c r="M30" s="75"/>
      <c r="N30" s="75"/>
      <c r="O30" s="75"/>
      <c r="P30" s="75"/>
      <c r="Q30" s="75"/>
    </row>
    <row r="31" spans="1:17" x14ac:dyDescent="0.25">
      <c r="A31" s="75"/>
      <c r="B31" s="75"/>
      <c r="C31" s="75"/>
      <c r="D31" s="75"/>
      <c r="E31" s="75"/>
      <c r="F31" s="75"/>
      <c r="G31" s="75"/>
      <c r="H31" s="75"/>
      <c r="I31" s="75"/>
      <c r="J31" s="75"/>
      <c r="K31" s="75"/>
      <c r="L31" s="75"/>
      <c r="M31" s="75"/>
      <c r="N31" s="75"/>
      <c r="O31" s="75"/>
      <c r="P31" s="75"/>
      <c r="Q31" s="75"/>
    </row>
    <row r="32" spans="1:17" x14ac:dyDescent="0.25">
      <c r="A32" s="75"/>
      <c r="B32" s="75"/>
      <c r="C32" s="75"/>
      <c r="D32" s="75"/>
      <c r="E32" s="75"/>
      <c r="F32" s="75"/>
      <c r="G32" s="75"/>
      <c r="H32" s="75"/>
      <c r="I32" s="75"/>
      <c r="J32" s="75"/>
      <c r="K32" s="75"/>
      <c r="L32" s="75"/>
      <c r="M32" s="75"/>
      <c r="N32" s="75"/>
      <c r="O32" s="75"/>
      <c r="P32" s="75"/>
      <c r="Q32" s="75"/>
    </row>
    <row r="33" spans="1:17" x14ac:dyDescent="0.25">
      <c r="A33" s="75"/>
      <c r="B33" s="75"/>
      <c r="C33" s="75"/>
      <c r="D33" s="75"/>
      <c r="E33" s="75"/>
      <c r="F33" s="75"/>
      <c r="G33" s="75"/>
      <c r="H33" s="75"/>
      <c r="I33" s="75"/>
      <c r="J33" s="75"/>
      <c r="K33" s="75"/>
      <c r="L33" s="75"/>
      <c r="M33" s="75"/>
      <c r="N33" s="75"/>
      <c r="O33" s="75"/>
      <c r="P33" s="75"/>
      <c r="Q33" s="75"/>
    </row>
    <row r="34" spans="1:17" x14ac:dyDescent="0.25">
      <c r="A34" s="75"/>
      <c r="B34" s="75"/>
      <c r="C34" s="75"/>
      <c r="D34" s="75"/>
      <c r="E34" s="75"/>
      <c r="F34" s="75"/>
      <c r="G34" s="75"/>
      <c r="H34" s="75"/>
      <c r="I34" s="75"/>
      <c r="J34" s="75"/>
      <c r="K34" s="75"/>
      <c r="L34" s="75"/>
      <c r="M34" s="75"/>
      <c r="N34" s="75"/>
      <c r="O34" s="75"/>
      <c r="P34" s="75"/>
      <c r="Q34" s="75"/>
    </row>
    <row r="35" spans="1:17" x14ac:dyDescent="0.25">
      <c r="A35" s="75"/>
      <c r="B35" s="75"/>
      <c r="C35" s="75"/>
      <c r="D35" s="75"/>
      <c r="E35" s="75"/>
      <c r="F35" s="75"/>
      <c r="G35" s="75"/>
      <c r="H35" s="75"/>
      <c r="I35" s="75"/>
      <c r="J35" s="75"/>
      <c r="K35" s="75"/>
      <c r="L35" s="75"/>
      <c r="M35" s="75"/>
      <c r="N35" s="75"/>
      <c r="O35" s="75"/>
      <c r="P35" s="75"/>
      <c r="Q35" s="75"/>
    </row>
    <row r="36" spans="1:17" x14ac:dyDescent="0.25">
      <c r="A36" s="75"/>
      <c r="B36" s="75"/>
      <c r="C36" s="75"/>
      <c r="D36" s="75"/>
      <c r="E36" s="75"/>
      <c r="F36" s="75"/>
      <c r="G36" s="75"/>
      <c r="H36" s="75"/>
      <c r="I36" s="75"/>
      <c r="J36" s="75"/>
      <c r="K36" s="75"/>
      <c r="L36" s="75"/>
      <c r="M36" s="75"/>
      <c r="N36" s="75"/>
      <c r="O36" s="75"/>
      <c r="P36" s="75"/>
      <c r="Q36" s="75"/>
    </row>
    <row r="37" spans="1:17" x14ac:dyDescent="0.25">
      <c r="A37" s="75"/>
      <c r="B37" s="75"/>
      <c r="C37" s="75"/>
      <c r="D37" s="75"/>
      <c r="E37" s="75"/>
      <c r="F37" s="75"/>
      <c r="G37" s="75"/>
      <c r="H37" s="75"/>
      <c r="I37" s="75"/>
      <c r="J37" s="75"/>
      <c r="K37" s="75"/>
      <c r="L37" s="75"/>
      <c r="M37" s="75"/>
      <c r="N37" s="75"/>
      <c r="O37" s="75"/>
      <c r="P37" s="75"/>
      <c r="Q37" s="75"/>
    </row>
    <row r="38" spans="1:17" x14ac:dyDescent="0.25">
      <c r="A38" s="75"/>
      <c r="B38" s="75"/>
      <c r="C38" s="75"/>
      <c r="D38" s="75"/>
      <c r="E38" s="75"/>
      <c r="F38" s="75"/>
      <c r="G38" s="75"/>
      <c r="H38" s="75"/>
      <c r="I38" s="75"/>
      <c r="J38" s="75"/>
      <c r="K38" s="75"/>
      <c r="L38" s="75"/>
      <c r="M38" s="75"/>
      <c r="N38" s="75"/>
      <c r="O38" s="75"/>
      <c r="P38" s="75"/>
      <c r="Q38" s="75"/>
    </row>
    <row r="39" spans="1:17" x14ac:dyDescent="0.25">
      <c r="A39" s="75"/>
      <c r="B39" s="75"/>
      <c r="C39" s="75"/>
      <c r="D39" s="75"/>
      <c r="E39" s="75"/>
      <c r="F39" s="75"/>
      <c r="G39" s="75"/>
      <c r="H39" s="75"/>
      <c r="I39" s="75"/>
      <c r="J39" s="75"/>
      <c r="K39" s="75"/>
      <c r="L39" s="75"/>
      <c r="M39" s="75"/>
      <c r="N39" s="75"/>
      <c r="O39" s="75"/>
      <c r="P39" s="75"/>
      <c r="Q39" s="75"/>
    </row>
    <row r="40" spans="1:17" x14ac:dyDescent="0.25">
      <c r="A40" s="75"/>
      <c r="B40" s="75"/>
      <c r="C40" s="75"/>
      <c r="D40" s="75"/>
      <c r="E40" s="75"/>
      <c r="F40" s="75"/>
      <c r="G40" s="75"/>
      <c r="H40" s="75"/>
      <c r="I40" s="75"/>
      <c r="J40" s="75"/>
      <c r="K40" s="75"/>
      <c r="L40" s="75"/>
      <c r="M40" s="75"/>
      <c r="N40" s="75"/>
      <c r="O40" s="75"/>
      <c r="P40" s="75"/>
      <c r="Q40" s="75"/>
    </row>
    <row r="41" spans="1:17" x14ac:dyDescent="0.25">
      <c r="A41" s="75"/>
      <c r="B41" s="75"/>
      <c r="C41" s="75"/>
      <c r="D41" s="75"/>
      <c r="E41" s="75"/>
      <c r="F41" s="75"/>
      <c r="G41" s="75"/>
      <c r="H41" s="75"/>
      <c r="I41" s="75"/>
      <c r="J41" s="75"/>
      <c r="K41" s="75"/>
      <c r="L41" s="75"/>
      <c r="M41" s="75"/>
      <c r="N41" s="75"/>
      <c r="O41" s="75"/>
      <c r="P41" s="75"/>
      <c r="Q41" s="75"/>
    </row>
    <row r="42" spans="1:17" x14ac:dyDescent="0.25">
      <c r="A42" s="75"/>
      <c r="B42" s="75"/>
      <c r="C42" s="75"/>
      <c r="D42" s="75"/>
      <c r="E42" s="75"/>
      <c r="F42" s="75"/>
      <c r="G42" s="75"/>
      <c r="H42" s="75"/>
      <c r="I42" s="75"/>
      <c r="J42" s="75"/>
      <c r="K42" s="75"/>
      <c r="L42" s="75"/>
      <c r="M42" s="75"/>
      <c r="N42" s="75"/>
      <c r="O42" s="75"/>
      <c r="P42" s="75"/>
      <c r="Q42" s="75"/>
    </row>
    <row r="43" spans="1:17" x14ac:dyDescent="0.25">
      <c r="A43" s="75"/>
      <c r="B43" s="75"/>
      <c r="C43" s="75"/>
      <c r="D43" s="75"/>
      <c r="E43" s="75"/>
      <c r="F43" s="75"/>
      <c r="G43" s="75"/>
      <c r="H43" s="75"/>
      <c r="I43" s="75"/>
      <c r="J43" s="75"/>
      <c r="K43" s="75"/>
      <c r="L43" s="75"/>
      <c r="M43" s="75"/>
      <c r="N43" s="75"/>
      <c r="O43" s="75"/>
      <c r="P43" s="75"/>
      <c r="Q43" s="75"/>
    </row>
    <row r="44" spans="1:17" x14ac:dyDescent="0.25">
      <c r="A44" s="75"/>
      <c r="B44" s="75"/>
      <c r="C44" s="75"/>
      <c r="D44" s="75"/>
      <c r="E44" s="75"/>
      <c r="F44" s="75"/>
      <c r="G44" s="75"/>
      <c r="H44" s="75"/>
      <c r="I44" s="75"/>
      <c r="J44" s="75"/>
      <c r="K44" s="75"/>
      <c r="L44" s="75"/>
      <c r="M44" s="75"/>
      <c r="N44" s="75"/>
      <c r="O44" s="75"/>
      <c r="P44" s="75"/>
      <c r="Q44" s="75"/>
    </row>
    <row r="45" spans="1:17" x14ac:dyDescent="0.25">
      <c r="A45" s="75"/>
      <c r="B45" s="75"/>
      <c r="C45" s="75"/>
      <c r="D45" s="75"/>
      <c r="E45" s="75"/>
      <c r="F45" s="75"/>
      <c r="G45" s="75"/>
      <c r="H45" s="75"/>
      <c r="I45" s="75"/>
      <c r="J45" s="75"/>
      <c r="K45" s="75"/>
      <c r="L45" s="75"/>
      <c r="M45" s="75"/>
      <c r="N45" s="75"/>
      <c r="O45" s="75"/>
      <c r="P45" s="75"/>
      <c r="Q45" s="75"/>
    </row>
    <row r="46" spans="1:17" x14ac:dyDescent="0.25">
      <c r="A46" s="75"/>
      <c r="B46" s="75"/>
      <c r="C46" s="75"/>
      <c r="D46" s="75"/>
      <c r="E46" s="75"/>
      <c r="F46" s="75"/>
      <c r="G46" s="75"/>
      <c r="H46" s="75"/>
      <c r="I46" s="75"/>
      <c r="J46" s="75"/>
      <c r="K46" s="75"/>
      <c r="L46" s="75"/>
      <c r="M46" s="75"/>
      <c r="N46" s="75"/>
      <c r="O46" s="75"/>
      <c r="P46" s="75"/>
      <c r="Q46" s="75"/>
    </row>
    <row r="47" spans="1:17" x14ac:dyDescent="0.25">
      <c r="A47" s="75"/>
      <c r="B47" s="75"/>
      <c r="C47" s="75"/>
      <c r="D47" s="75"/>
      <c r="E47" s="75"/>
      <c r="F47" s="75"/>
      <c r="G47" s="75"/>
      <c r="H47" s="75"/>
      <c r="I47" s="75"/>
      <c r="J47" s="75"/>
      <c r="K47" s="75"/>
      <c r="L47" s="75"/>
      <c r="M47" s="75"/>
      <c r="N47" s="75"/>
      <c r="O47" s="75"/>
      <c r="P47" s="75"/>
      <c r="Q47" s="75"/>
    </row>
    <row r="48" spans="1:17" x14ac:dyDescent="0.25">
      <c r="A48" s="75"/>
      <c r="B48" s="75"/>
      <c r="C48" s="75"/>
      <c r="D48" s="75"/>
      <c r="E48" s="75"/>
      <c r="F48" s="75"/>
      <c r="G48" s="75"/>
      <c r="H48" s="75"/>
      <c r="I48" s="75"/>
      <c r="J48" s="75"/>
      <c r="K48" s="75"/>
      <c r="L48" s="75"/>
      <c r="M48" s="75"/>
      <c r="N48" s="75"/>
      <c r="O48" s="75"/>
      <c r="P48" s="75"/>
      <c r="Q48" s="75"/>
    </row>
    <row r="49" spans="1:17" x14ac:dyDescent="0.25">
      <c r="A49" s="75"/>
      <c r="B49" s="75"/>
      <c r="C49" s="75"/>
      <c r="D49" s="75"/>
      <c r="E49" s="75"/>
      <c r="F49" s="75"/>
      <c r="G49" s="75"/>
      <c r="H49" s="75"/>
      <c r="I49" s="75"/>
      <c r="J49" s="75"/>
      <c r="K49" s="75"/>
      <c r="L49" s="75"/>
      <c r="M49" s="75"/>
      <c r="N49" s="75"/>
      <c r="O49" s="75"/>
      <c r="P49" s="75"/>
      <c r="Q49" s="75"/>
    </row>
    <row r="50" spans="1:17" x14ac:dyDescent="0.25">
      <c r="A50" s="75"/>
      <c r="B50" s="75"/>
      <c r="C50" s="75"/>
      <c r="D50" s="75"/>
      <c r="E50" s="75"/>
      <c r="F50" s="75"/>
      <c r="G50" s="75"/>
      <c r="H50" s="75"/>
      <c r="I50" s="75"/>
      <c r="J50" s="75"/>
      <c r="K50" s="75"/>
      <c r="L50" s="75"/>
      <c r="M50" s="75"/>
      <c r="N50" s="75"/>
      <c r="O50" s="75"/>
      <c r="P50" s="75"/>
      <c r="Q50" s="75"/>
    </row>
    <row r="51" spans="1:17" x14ac:dyDescent="0.25">
      <c r="A51" s="75"/>
      <c r="B51" s="75"/>
      <c r="C51" s="75"/>
      <c r="D51" s="75"/>
      <c r="E51" s="75"/>
      <c r="F51" s="75"/>
      <c r="G51" s="75"/>
      <c r="H51" s="75"/>
      <c r="I51" s="75"/>
      <c r="J51" s="75"/>
      <c r="K51" s="75"/>
      <c r="L51" s="75"/>
      <c r="M51" s="75"/>
      <c r="N51" s="75"/>
      <c r="O51" s="75"/>
      <c r="P51" s="75"/>
      <c r="Q51" s="75"/>
    </row>
    <row r="52" spans="1:17" x14ac:dyDescent="0.25">
      <c r="A52" s="75"/>
      <c r="B52" s="75"/>
      <c r="C52" s="75"/>
      <c r="D52" s="75"/>
      <c r="E52" s="75"/>
      <c r="F52" s="75"/>
      <c r="G52" s="75"/>
      <c r="H52" s="75"/>
      <c r="I52" s="75"/>
      <c r="J52" s="75"/>
      <c r="K52" s="75"/>
      <c r="L52" s="75"/>
      <c r="M52" s="75"/>
      <c r="N52" s="75"/>
      <c r="O52" s="75"/>
      <c r="P52" s="75"/>
      <c r="Q52" s="75"/>
    </row>
    <row r="53" spans="1:17" x14ac:dyDescent="0.25">
      <c r="A53" s="75"/>
      <c r="B53" s="75"/>
      <c r="C53" s="75"/>
      <c r="D53" s="75"/>
      <c r="E53" s="75"/>
      <c r="F53" s="75"/>
      <c r="G53" s="75"/>
      <c r="H53" s="75"/>
      <c r="I53" s="75"/>
      <c r="J53" s="75"/>
      <c r="K53" s="75"/>
      <c r="L53" s="75"/>
      <c r="M53" s="75"/>
      <c r="N53" s="75"/>
      <c r="O53" s="75"/>
      <c r="P53" s="75"/>
      <c r="Q53" s="75"/>
    </row>
    <row r="54" spans="1:17" x14ac:dyDescent="0.25">
      <c r="A54" s="75"/>
      <c r="B54" s="75"/>
      <c r="C54" s="75"/>
      <c r="D54" s="75"/>
      <c r="E54" s="75"/>
      <c r="F54" s="75"/>
      <c r="G54" s="75"/>
      <c r="H54" s="75"/>
      <c r="I54" s="75"/>
      <c r="J54" s="75"/>
      <c r="K54" s="75"/>
      <c r="L54" s="75"/>
      <c r="M54" s="75"/>
      <c r="N54" s="75"/>
      <c r="O54" s="75"/>
      <c r="P54" s="75"/>
      <c r="Q54" s="75"/>
    </row>
    <row r="55" spans="1:17" x14ac:dyDescent="0.25">
      <c r="A55" s="75"/>
      <c r="B55" s="75"/>
      <c r="C55" s="75"/>
      <c r="D55" s="75"/>
      <c r="E55" s="75"/>
      <c r="F55" s="75"/>
      <c r="G55" s="75"/>
      <c r="H55" s="75"/>
      <c r="I55" s="75"/>
      <c r="J55" s="75"/>
      <c r="K55" s="75"/>
      <c r="L55" s="75"/>
      <c r="M55" s="75"/>
      <c r="N55" s="75"/>
      <c r="O55" s="75"/>
      <c r="P55" s="75"/>
      <c r="Q55" s="75"/>
    </row>
    <row r="56" spans="1:17" x14ac:dyDescent="0.25">
      <c r="A56" s="75"/>
      <c r="B56" s="75"/>
      <c r="C56" s="75"/>
      <c r="D56" s="75"/>
      <c r="E56" s="75"/>
      <c r="F56" s="75"/>
      <c r="G56" s="75"/>
      <c r="H56" s="75"/>
      <c r="I56" s="75"/>
      <c r="J56" s="75"/>
      <c r="K56" s="75"/>
      <c r="L56" s="75"/>
      <c r="M56" s="75"/>
      <c r="N56" s="75"/>
      <c r="O56" s="75"/>
      <c r="P56" s="75"/>
      <c r="Q56" s="75"/>
    </row>
    <row r="57" spans="1:17" x14ac:dyDescent="0.25">
      <c r="A57" s="75"/>
      <c r="B57" s="75"/>
      <c r="C57" s="75"/>
      <c r="D57" s="75"/>
      <c r="E57" s="75"/>
      <c r="F57" s="75"/>
      <c r="G57" s="75"/>
      <c r="H57" s="75"/>
      <c r="I57" s="75"/>
      <c r="J57" s="75"/>
      <c r="K57" s="75"/>
      <c r="L57" s="75"/>
      <c r="M57" s="75"/>
      <c r="N57" s="75"/>
      <c r="O57" s="75"/>
      <c r="P57" s="75"/>
      <c r="Q57" s="75"/>
    </row>
    <row r="58" spans="1:17" x14ac:dyDescent="0.25">
      <c r="A58" s="75"/>
      <c r="B58" s="75"/>
      <c r="C58" s="75"/>
      <c r="D58" s="75"/>
      <c r="E58" s="75"/>
      <c r="F58" s="75"/>
      <c r="G58" s="75"/>
      <c r="H58" s="75"/>
      <c r="I58" s="75"/>
      <c r="J58" s="75"/>
      <c r="K58" s="75"/>
      <c r="L58" s="75"/>
      <c r="M58" s="75"/>
      <c r="N58" s="75"/>
      <c r="O58" s="75"/>
      <c r="P58" s="75"/>
      <c r="Q58" s="75"/>
    </row>
    <row r="59" spans="1:17" x14ac:dyDescent="0.25">
      <c r="A59" s="75"/>
      <c r="B59" s="75"/>
      <c r="C59" s="75"/>
      <c r="D59" s="75"/>
      <c r="E59" s="75"/>
      <c r="F59" s="75"/>
      <c r="G59" s="75"/>
      <c r="H59" s="75"/>
      <c r="I59" s="75"/>
      <c r="J59" s="75"/>
      <c r="K59" s="75"/>
      <c r="L59" s="75"/>
      <c r="M59" s="75"/>
      <c r="N59" s="75"/>
      <c r="O59" s="75"/>
      <c r="P59" s="75"/>
      <c r="Q59" s="75"/>
    </row>
    <row r="60" spans="1:17" x14ac:dyDescent="0.25">
      <c r="A60" s="75"/>
      <c r="B60" s="75"/>
      <c r="C60" s="75"/>
      <c r="D60" s="75"/>
      <c r="E60" s="75"/>
      <c r="F60" s="75"/>
      <c r="G60" s="75"/>
      <c r="H60" s="75"/>
      <c r="I60" s="75"/>
      <c r="J60" s="75"/>
      <c r="K60" s="75"/>
      <c r="L60" s="75"/>
      <c r="M60" s="75"/>
      <c r="N60" s="75"/>
      <c r="O60" s="75"/>
      <c r="P60" s="75"/>
      <c r="Q60" s="75"/>
    </row>
    <row r="61" spans="1:17" x14ac:dyDescent="0.25">
      <c r="A61" s="75"/>
      <c r="B61" s="75"/>
      <c r="C61" s="75"/>
      <c r="D61" s="75"/>
      <c r="E61" s="75"/>
      <c r="F61" s="75"/>
      <c r="G61" s="75"/>
      <c r="H61" s="75"/>
      <c r="I61" s="75"/>
      <c r="J61" s="75"/>
      <c r="K61" s="75"/>
      <c r="L61" s="75"/>
      <c r="M61" s="75"/>
      <c r="N61" s="75"/>
      <c r="O61" s="75"/>
      <c r="P61" s="75"/>
      <c r="Q61" s="75"/>
    </row>
    <row r="62" spans="1:17" x14ac:dyDescent="0.25">
      <c r="A62" s="75"/>
      <c r="B62" s="75"/>
      <c r="C62" s="75"/>
      <c r="D62" s="75"/>
      <c r="E62" s="75"/>
      <c r="F62" s="75"/>
      <c r="G62" s="75"/>
      <c r="H62" s="75"/>
      <c r="I62" s="75"/>
      <c r="J62" s="75"/>
      <c r="K62" s="75"/>
      <c r="L62" s="75"/>
      <c r="M62" s="75"/>
      <c r="N62" s="75"/>
      <c r="O62" s="75"/>
      <c r="P62" s="75"/>
      <c r="Q62" s="75"/>
    </row>
    <row r="63" spans="1:17" x14ac:dyDescent="0.25">
      <c r="A63" s="75"/>
      <c r="B63" s="75"/>
      <c r="C63" s="75"/>
      <c r="D63" s="75"/>
      <c r="E63" s="75"/>
      <c r="F63" s="75"/>
      <c r="G63" s="75"/>
      <c r="H63" s="75"/>
      <c r="I63" s="75"/>
      <c r="J63" s="75"/>
      <c r="K63" s="75"/>
      <c r="L63" s="75"/>
      <c r="M63" s="75"/>
      <c r="N63" s="75"/>
      <c r="O63" s="75"/>
      <c r="P63" s="75"/>
      <c r="Q63" s="75"/>
    </row>
    <row r="64" spans="1:17" x14ac:dyDescent="0.25">
      <c r="A64" s="75"/>
      <c r="B64" s="75"/>
      <c r="C64" s="75"/>
      <c r="D64" s="75"/>
      <c r="E64" s="75"/>
      <c r="F64" s="75"/>
      <c r="G64" s="75"/>
      <c r="H64" s="75"/>
      <c r="I64" s="75"/>
      <c r="J64" s="75"/>
      <c r="K64" s="75"/>
      <c r="L64" s="75"/>
      <c r="M64" s="75"/>
      <c r="N64" s="75"/>
      <c r="O64" s="75"/>
      <c r="P64" s="75"/>
      <c r="Q64" s="75"/>
    </row>
    <row r="65" spans="1:17" x14ac:dyDescent="0.25">
      <c r="A65" s="75"/>
      <c r="B65" s="75"/>
      <c r="C65" s="75"/>
      <c r="D65" s="75"/>
      <c r="E65" s="75"/>
      <c r="F65" s="75"/>
      <c r="G65" s="75"/>
      <c r="H65" s="75"/>
      <c r="I65" s="75"/>
      <c r="J65" s="75"/>
      <c r="K65" s="75"/>
      <c r="L65" s="75"/>
      <c r="M65" s="75"/>
      <c r="N65" s="75"/>
      <c r="O65" s="75"/>
      <c r="P65" s="75"/>
      <c r="Q65" s="75"/>
    </row>
    <row r="66" spans="1:17" x14ac:dyDescent="0.25">
      <c r="A66" s="75"/>
      <c r="B66" s="75"/>
      <c r="C66" s="75"/>
      <c r="D66" s="75"/>
      <c r="E66" s="75"/>
      <c r="F66" s="75"/>
      <c r="G66" s="75"/>
      <c r="H66" s="75"/>
      <c r="I66" s="75"/>
      <c r="J66" s="75"/>
      <c r="K66" s="75"/>
      <c r="L66" s="75"/>
      <c r="M66" s="75"/>
      <c r="N66" s="75"/>
      <c r="O66" s="75"/>
      <c r="P66" s="75"/>
      <c r="Q66" s="75"/>
    </row>
    <row r="67" spans="1:17" x14ac:dyDescent="0.25">
      <c r="A67" s="75"/>
      <c r="B67" s="75"/>
      <c r="C67" s="75"/>
      <c r="D67" s="75"/>
      <c r="E67" s="75"/>
      <c r="F67" s="75"/>
      <c r="G67" s="75"/>
      <c r="H67" s="75"/>
      <c r="I67" s="75"/>
      <c r="J67" s="75"/>
      <c r="K67" s="75"/>
      <c r="L67" s="75"/>
      <c r="M67" s="75"/>
      <c r="N67" s="75"/>
      <c r="O67" s="75"/>
      <c r="P67" s="75"/>
      <c r="Q67" s="75"/>
    </row>
    <row r="68" spans="1:17" x14ac:dyDescent="0.25">
      <c r="A68" s="75"/>
      <c r="B68" s="75"/>
      <c r="C68" s="75"/>
      <c r="D68" s="75"/>
      <c r="E68" s="75"/>
      <c r="F68" s="75"/>
      <c r="G68" s="75"/>
      <c r="H68" s="75"/>
      <c r="I68" s="75"/>
      <c r="J68" s="75"/>
      <c r="K68" s="75"/>
      <c r="L68" s="75"/>
      <c r="M68" s="75"/>
      <c r="N68" s="75"/>
      <c r="O68" s="75"/>
      <c r="P68" s="75"/>
      <c r="Q68" s="75"/>
    </row>
    <row r="69" spans="1:17" x14ac:dyDescent="0.25">
      <c r="A69" s="75"/>
      <c r="B69" s="75"/>
      <c r="C69" s="75"/>
      <c r="D69" s="75"/>
      <c r="E69" s="75"/>
      <c r="F69" s="75"/>
      <c r="G69" s="75"/>
      <c r="H69" s="75"/>
      <c r="I69" s="75"/>
      <c r="J69" s="75"/>
      <c r="K69" s="75"/>
      <c r="L69" s="75"/>
      <c r="M69" s="75"/>
      <c r="N69" s="75"/>
      <c r="O69" s="75"/>
      <c r="P69" s="75"/>
      <c r="Q69" s="75"/>
    </row>
    <row r="70" spans="1:17" x14ac:dyDescent="0.25">
      <c r="A70" s="75"/>
      <c r="B70" s="75"/>
      <c r="C70" s="75"/>
      <c r="D70" s="75"/>
      <c r="E70" s="75"/>
      <c r="F70" s="75"/>
      <c r="G70" s="75"/>
      <c r="H70" s="75"/>
      <c r="I70" s="75"/>
      <c r="J70" s="75"/>
      <c r="K70" s="75"/>
      <c r="L70" s="75"/>
      <c r="M70" s="75"/>
      <c r="N70" s="75"/>
      <c r="O70" s="75"/>
      <c r="P70" s="75"/>
      <c r="Q70" s="75"/>
    </row>
    <row r="71" spans="1:17" x14ac:dyDescent="0.25">
      <c r="A71" s="75"/>
      <c r="B71" s="75"/>
      <c r="C71" s="75"/>
      <c r="D71" s="75"/>
      <c r="E71" s="75"/>
      <c r="F71" s="75"/>
      <c r="G71" s="75"/>
      <c r="H71" s="75"/>
      <c r="I71" s="75"/>
      <c r="J71" s="75"/>
      <c r="K71" s="75"/>
      <c r="L71" s="75"/>
      <c r="M71" s="75"/>
      <c r="N71" s="75"/>
      <c r="O71" s="75"/>
      <c r="P71" s="75"/>
      <c r="Q71" s="75"/>
    </row>
    <row r="72" spans="1:17" x14ac:dyDescent="0.25">
      <c r="A72" s="75"/>
      <c r="B72" s="75"/>
      <c r="C72" s="75"/>
      <c r="D72" s="75"/>
      <c r="E72" s="75"/>
      <c r="F72" s="75"/>
      <c r="G72" s="75"/>
      <c r="H72" s="75"/>
      <c r="I72" s="75"/>
      <c r="J72" s="75"/>
      <c r="K72" s="75"/>
      <c r="L72" s="75"/>
      <c r="M72" s="75"/>
      <c r="N72" s="75"/>
      <c r="O72" s="75"/>
      <c r="P72" s="75"/>
      <c r="Q72" s="75"/>
    </row>
    <row r="73" spans="1:17" x14ac:dyDescent="0.25">
      <c r="A73" s="75"/>
      <c r="B73" s="75"/>
      <c r="C73" s="75"/>
      <c r="D73" s="75"/>
      <c r="E73" s="75"/>
      <c r="F73" s="75"/>
      <c r="G73" s="75"/>
      <c r="H73" s="75"/>
      <c r="I73" s="75"/>
      <c r="J73" s="75"/>
      <c r="K73" s="75"/>
      <c r="L73" s="75"/>
      <c r="M73" s="75"/>
      <c r="N73" s="75"/>
      <c r="O73" s="75"/>
      <c r="P73" s="75"/>
      <c r="Q73" s="75"/>
    </row>
    <row r="74" spans="1:17" x14ac:dyDescent="0.25">
      <c r="A74" s="75"/>
      <c r="B74" s="75"/>
      <c r="C74" s="75"/>
      <c r="D74" s="75"/>
      <c r="E74" s="75"/>
      <c r="F74" s="75"/>
      <c r="G74" s="75"/>
      <c r="H74" s="75"/>
      <c r="I74" s="75"/>
      <c r="J74" s="75"/>
      <c r="K74" s="75"/>
      <c r="L74" s="75"/>
      <c r="M74" s="75"/>
      <c r="N74" s="75"/>
      <c r="O74" s="75"/>
      <c r="P74" s="75"/>
      <c r="Q74" s="75"/>
    </row>
    <row r="75" spans="1:17" x14ac:dyDescent="0.25">
      <c r="A75" s="75"/>
      <c r="B75" s="75"/>
      <c r="C75" s="75"/>
      <c r="D75" s="75"/>
      <c r="E75" s="75"/>
      <c r="F75" s="75"/>
      <c r="G75" s="75"/>
      <c r="H75" s="75"/>
      <c r="I75" s="75"/>
      <c r="J75" s="75"/>
      <c r="K75" s="75"/>
      <c r="L75" s="75"/>
      <c r="M75" s="75"/>
      <c r="N75" s="75"/>
      <c r="O75" s="75"/>
      <c r="P75" s="75"/>
      <c r="Q75" s="75"/>
    </row>
    <row r="76" spans="1:17" x14ac:dyDescent="0.25">
      <c r="A76" s="75"/>
      <c r="B76" s="75"/>
      <c r="C76" s="75"/>
      <c r="D76" s="75"/>
      <c r="E76" s="75"/>
      <c r="F76" s="75"/>
      <c r="G76" s="75"/>
      <c r="H76" s="75"/>
      <c r="I76" s="75"/>
      <c r="J76" s="75"/>
      <c r="K76" s="75"/>
      <c r="L76" s="75"/>
      <c r="M76" s="75"/>
      <c r="N76" s="75"/>
      <c r="O76" s="75"/>
      <c r="P76" s="75"/>
      <c r="Q76" s="75"/>
    </row>
    <row r="77" spans="1:17" x14ac:dyDescent="0.25">
      <c r="A77" s="75"/>
      <c r="B77" s="75"/>
      <c r="C77" s="75"/>
      <c r="D77" s="75"/>
      <c r="E77" s="75"/>
      <c r="F77" s="75"/>
      <c r="G77" s="75"/>
      <c r="H77" s="75"/>
      <c r="I77" s="75"/>
      <c r="J77" s="75"/>
      <c r="K77" s="75"/>
      <c r="L77" s="75"/>
      <c r="M77" s="75"/>
      <c r="N77" s="75"/>
      <c r="O77" s="75"/>
      <c r="P77" s="75"/>
      <c r="Q77" s="75"/>
    </row>
    <row r="78" spans="1:17" x14ac:dyDescent="0.25">
      <c r="A78" s="75"/>
      <c r="B78" s="75"/>
      <c r="C78" s="75"/>
      <c r="D78" s="75"/>
      <c r="E78" s="75"/>
      <c r="F78" s="75"/>
      <c r="G78" s="75"/>
      <c r="H78" s="75"/>
      <c r="I78" s="75"/>
      <c r="J78" s="75"/>
      <c r="K78" s="75"/>
      <c r="L78" s="75"/>
      <c r="M78" s="75"/>
      <c r="N78" s="75"/>
      <c r="O78" s="75"/>
      <c r="P78" s="75"/>
      <c r="Q78" s="75"/>
    </row>
    <row r="79" spans="1:17" x14ac:dyDescent="0.25">
      <c r="A79" s="75"/>
      <c r="B79" s="75"/>
      <c r="C79" s="75"/>
      <c r="D79" s="75"/>
      <c r="E79" s="75"/>
      <c r="F79" s="75"/>
      <c r="G79" s="75"/>
      <c r="H79" s="75"/>
      <c r="I79" s="75"/>
      <c r="J79" s="75"/>
      <c r="K79" s="75"/>
      <c r="L79" s="75"/>
      <c r="M79" s="75"/>
      <c r="N79" s="75"/>
      <c r="O79" s="75"/>
      <c r="P79" s="75"/>
      <c r="Q79" s="75"/>
    </row>
    <row r="80" spans="1:17" x14ac:dyDescent="0.25">
      <c r="A80" s="75"/>
      <c r="B80" s="75"/>
      <c r="C80" s="75"/>
      <c r="D80" s="75"/>
      <c r="E80" s="75"/>
      <c r="F80" s="75"/>
      <c r="G80" s="75"/>
      <c r="H80" s="75"/>
      <c r="I80" s="75"/>
      <c r="J80" s="75"/>
      <c r="K80" s="75"/>
      <c r="L80" s="75"/>
      <c r="M80" s="75"/>
      <c r="N80" s="75"/>
      <c r="O80" s="75"/>
      <c r="P80" s="75"/>
      <c r="Q80" s="75"/>
    </row>
    <row r="81" spans="1:17" x14ac:dyDescent="0.25">
      <c r="A81" s="75"/>
      <c r="B81" s="75"/>
      <c r="C81" s="75"/>
      <c r="D81" s="75"/>
      <c r="E81" s="75"/>
      <c r="F81" s="75"/>
      <c r="G81" s="75"/>
      <c r="H81" s="75"/>
      <c r="I81" s="75"/>
      <c r="J81" s="75"/>
      <c r="K81" s="75"/>
      <c r="L81" s="75"/>
      <c r="M81" s="75"/>
      <c r="N81" s="75"/>
      <c r="O81" s="75"/>
      <c r="P81" s="75"/>
      <c r="Q81" s="75"/>
    </row>
    <row r="82" spans="1:17" x14ac:dyDescent="0.25">
      <c r="A82" s="75"/>
      <c r="B82" s="75"/>
      <c r="C82" s="75"/>
      <c r="D82" s="75"/>
      <c r="E82" s="75"/>
      <c r="F82" s="75"/>
      <c r="G82" s="75"/>
      <c r="H82" s="75"/>
      <c r="I82" s="75"/>
      <c r="J82" s="75"/>
      <c r="K82" s="75"/>
      <c r="L82" s="75"/>
      <c r="M82" s="75"/>
      <c r="N82" s="75"/>
      <c r="O82" s="75"/>
      <c r="P82" s="75"/>
      <c r="Q82" s="75"/>
    </row>
    <row r="83" spans="1:17" x14ac:dyDescent="0.25">
      <c r="A83" s="75"/>
      <c r="B83" s="75"/>
      <c r="C83" s="75"/>
      <c r="D83" s="75"/>
      <c r="E83" s="75"/>
      <c r="F83" s="75"/>
      <c r="G83" s="75"/>
      <c r="H83" s="75"/>
      <c r="I83" s="75"/>
      <c r="J83" s="75"/>
      <c r="K83" s="75"/>
      <c r="L83" s="75"/>
      <c r="M83" s="75"/>
      <c r="N83" s="75"/>
      <c r="O83" s="75"/>
      <c r="P83" s="75"/>
      <c r="Q83" s="75"/>
    </row>
    <row r="84" spans="1:17" x14ac:dyDescent="0.25">
      <c r="A84" s="75"/>
      <c r="B84" s="75"/>
      <c r="C84" s="75"/>
      <c r="D84" s="75"/>
      <c r="E84" s="75"/>
      <c r="F84" s="75"/>
      <c r="G84" s="75"/>
      <c r="H84" s="75"/>
      <c r="I84" s="75"/>
      <c r="J84" s="75"/>
      <c r="K84" s="75"/>
      <c r="L84" s="75"/>
      <c r="M84" s="75"/>
      <c r="N84" s="75"/>
      <c r="O84" s="75"/>
      <c r="P84" s="75"/>
      <c r="Q84" s="75"/>
    </row>
    <row r="85" spans="1:17" x14ac:dyDescent="0.25">
      <c r="A85" s="75"/>
      <c r="B85" s="75"/>
      <c r="C85" s="75"/>
      <c r="D85" s="75"/>
      <c r="E85" s="75"/>
      <c r="F85" s="75"/>
      <c r="G85" s="75"/>
      <c r="H85" s="75"/>
      <c r="I85" s="75"/>
      <c r="J85" s="75"/>
      <c r="K85" s="75"/>
      <c r="L85" s="75"/>
      <c r="M85" s="75"/>
      <c r="N85" s="75"/>
      <c r="O85" s="75"/>
      <c r="P85" s="75"/>
      <c r="Q85" s="75"/>
    </row>
    <row r="86" spans="1:17" x14ac:dyDescent="0.25">
      <c r="A86" s="75"/>
      <c r="B86" s="75"/>
      <c r="C86" s="75"/>
      <c r="D86" s="75"/>
      <c r="E86" s="75"/>
      <c r="F86" s="75"/>
      <c r="G86" s="75"/>
      <c r="H86" s="75"/>
      <c r="I86" s="75"/>
      <c r="J86" s="75"/>
      <c r="K86" s="75"/>
      <c r="L86" s="75"/>
      <c r="M86" s="75"/>
      <c r="N86" s="75"/>
      <c r="O86" s="75"/>
      <c r="P86" s="75"/>
      <c r="Q86" s="75"/>
    </row>
    <row r="87" spans="1:17" x14ac:dyDescent="0.25">
      <c r="A87" s="75"/>
      <c r="B87" s="75"/>
      <c r="C87" s="75"/>
      <c r="D87" s="75"/>
      <c r="E87" s="75"/>
      <c r="F87" s="75"/>
      <c r="G87" s="75"/>
      <c r="H87" s="75"/>
      <c r="I87" s="75"/>
      <c r="J87" s="75"/>
      <c r="K87" s="75"/>
      <c r="L87" s="75"/>
      <c r="M87" s="75"/>
      <c r="N87" s="75"/>
      <c r="O87" s="75"/>
      <c r="P87" s="75"/>
      <c r="Q87" s="75"/>
    </row>
    <row r="88" spans="1:17" x14ac:dyDescent="0.25">
      <c r="A88" s="75"/>
      <c r="B88" s="75"/>
      <c r="C88" s="75"/>
      <c r="D88" s="75"/>
      <c r="E88" s="75"/>
      <c r="F88" s="75"/>
      <c r="G88" s="75"/>
      <c r="H88" s="75"/>
      <c r="I88" s="75"/>
      <c r="J88" s="75"/>
      <c r="K88" s="75"/>
      <c r="L88" s="75"/>
      <c r="M88" s="75"/>
      <c r="N88" s="75"/>
      <c r="O88" s="75"/>
      <c r="P88" s="75"/>
      <c r="Q88" s="75"/>
    </row>
    <row r="89" spans="1:17" x14ac:dyDescent="0.25">
      <c r="A89" s="75"/>
      <c r="B89" s="75"/>
      <c r="C89" s="75"/>
      <c r="D89" s="75"/>
      <c r="E89" s="75"/>
      <c r="F89" s="75"/>
      <c r="G89" s="75"/>
      <c r="H89" s="75"/>
      <c r="I89" s="75"/>
      <c r="J89" s="75"/>
      <c r="K89" s="75"/>
      <c r="L89" s="75"/>
      <c r="M89" s="75"/>
      <c r="N89" s="75"/>
      <c r="O89" s="75"/>
      <c r="P89" s="75"/>
      <c r="Q89" s="75"/>
    </row>
    <row r="90" spans="1:17" x14ac:dyDescent="0.25">
      <c r="A90" s="75"/>
      <c r="B90" s="75"/>
      <c r="C90" s="75"/>
      <c r="D90" s="75"/>
      <c r="E90" s="75"/>
      <c r="F90" s="75"/>
      <c r="G90" s="75"/>
      <c r="H90" s="75"/>
      <c r="I90" s="75"/>
      <c r="J90" s="75"/>
      <c r="K90" s="75"/>
      <c r="L90" s="75"/>
      <c r="M90" s="75"/>
      <c r="N90" s="75"/>
      <c r="O90" s="75"/>
      <c r="P90" s="75"/>
      <c r="Q90" s="75"/>
    </row>
    <row r="91" spans="1:17" x14ac:dyDescent="0.25">
      <c r="A91" s="75"/>
      <c r="B91" s="75"/>
      <c r="C91" s="75"/>
      <c r="D91" s="75"/>
      <c r="E91" s="75"/>
      <c r="F91" s="75"/>
      <c r="G91" s="75"/>
      <c r="H91" s="75"/>
      <c r="I91" s="75"/>
      <c r="J91" s="75"/>
      <c r="K91" s="75"/>
      <c r="L91" s="75"/>
      <c r="M91" s="75"/>
      <c r="N91" s="75"/>
      <c r="O91" s="75"/>
      <c r="P91" s="75"/>
      <c r="Q91" s="75"/>
    </row>
    <row r="92" spans="1:17" x14ac:dyDescent="0.25">
      <c r="A92" s="75"/>
      <c r="B92" s="75"/>
      <c r="C92" s="75"/>
      <c r="D92" s="75"/>
      <c r="E92" s="75"/>
      <c r="F92" s="75"/>
      <c r="G92" s="75"/>
      <c r="H92" s="75"/>
      <c r="I92" s="75"/>
      <c r="J92" s="75"/>
      <c r="K92" s="75"/>
      <c r="L92" s="75"/>
      <c r="M92" s="75"/>
      <c r="N92" s="75"/>
      <c r="O92" s="75"/>
      <c r="P92" s="75"/>
      <c r="Q92" s="75"/>
    </row>
    <row r="93" spans="1:17" x14ac:dyDescent="0.25">
      <c r="A93" s="75"/>
      <c r="B93" s="75"/>
      <c r="C93" s="75"/>
      <c r="D93" s="75"/>
      <c r="E93" s="75"/>
      <c r="F93" s="75"/>
      <c r="G93" s="75"/>
      <c r="H93" s="75"/>
      <c r="I93" s="75"/>
      <c r="J93" s="75"/>
      <c r="K93" s="75"/>
      <c r="L93" s="75"/>
      <c r="M93" s="75"/>
      <c r="N93" s="75"/>
      <c r="O93" s="75"/>
      <c r="P93" s="75"/>
      <c r="Q93" s="75"/>
    </row>
    <row r="94" spans="1:17" x14ac:dyDescent="0.25">
      <c r="A94" s="75"/>
      <c r="B94" s="75"/>
      <c r="C94" s="75"/>
      <c r="D94" s="75"/>
      <c r="E94" s="75"/>
      <c r="F94" s="75"/>
      <c r="G94" s="75"/>
      <c r="H94" s="75"/>
      <c r="I94" s="75"/>
      <c r="J94" s="75"/>
      <c r="K94" s="75"/>
      <c r="L94" s="75"/>
      <c r="M94" s="75"/>
      <c r="N94" s="75"/>
      <c r="O94" s="75"/>
      <c r="P94" s="75"/>
      <c r="Q94" s="75"/>
    </row>
    <row r="95" spans="1:17" x14ac:dyDescent="0.25">
      <c r="A95" s="75"/>
      <c r="B95" s="75"/>
      <c r="C95" s="75"/>
      <c r="D95" s="75"/>
      <c r="E95" s="75"/>
      <c r="F95" s="75"/>
      <c r="G95" s="75"/>
      <c r="H95" s="75"/>
      <c r="I95" s="75"/>
      <c r="J95" s="75"/>
      <c r="K95" s="75"/>
      <c r="L95" s="75"/>
      <c r="M95" s="75"/>
      <c r="N95" s="75"/>
      <c r="O95" s="75"/>
      <c r="P95" s="75"/>
      <c r="Q95" s="75"/>
    </row>
    <row r="96" spans="1:17" x14ac:dyDescent="0.25">
      <c r="A96" s="75"/>
      <c r="B96" s="75"/>
      <c r="C96" s="75"/>
      <c r="D96" s="75"/>
      <c r="E96" s="75"/>
      <c r="F96" s="75"/>
      <c r="G96" s="75"/>
      <c r="H96" s="75"/>
      <c r="I96" s="75"/>
      <c r="J96" s="75"/>
      <c r="K96" s="75"/>
      <c r="L96" s="75"/>
      <c r="M96" s="75"/>
      <c r="N96" s="75"/>
      <c r="O96" s="75"/>
      <c r="P96" s="75"/>
      <c r="Q96" s="75"/>
    </row>
    <row r="97" spans="1:17" x14ac:dyDescent="0.25">
      <c r="A97" s="75"/>
      <c r="B97" s="75"/>
      <c r="C97" s="75"/>
      <c r="D97" s="75"/>
      <c r="E97" s="75"/>
      <c r="F97" s="75"/>
      <c r="G97" s="75"/>
      <c r="H97" s="75"/>
      <c r="I97" s="75"/>
      <c r="J97" s="75"/>
      <c r="K97" s="75"/>
      <c r="L97" s="75"/>
      <c r="M97" s="75"/>
      <c r="N97" s="75"/>
      <c r="O97" s="75"/>
      <c r="P97" s="75"/>
      <c r="Q97" s="75"/>
    </row>
    <row r="98" spans="1:17" x14ac:dyDescent="0.25">
      <c r="A98" s="75"/>
      <c r="B98" s="75"/>
      <c r="C98" s="75"/>
      <c r="D98" s="75"/>
      <c r="E98" s="75"/>
      <c r="F98" s="75"/>
      <c r="G98" s="75"/>
      <c r="H98" s="75"/>
      <c r="I98" s="75"/>
      <c r="J98" s="75"/>
      <c r="K98" s="75"/>
      <c r="L98" s="75"/>
      <c r="M98" s="75"/>
      <c r="N98" s="75"/>
      <c r="O98" s="75"/>
      <c r="P98" s="75"/>
      <c r="Q98" s="75"/>
    </row>
    <row r="99" spans="1:17" x14ac:dyDescent="0.25">
      <c r="A99" s="75"/>
      <c r="B99" s="75"/>
      <c r="C99" s="75"/>
      <c r="D99" s="75"/>
      <c r="E99" s="75"/>
      <c r="F99" s="75"/>
      <c r="G99" s="75"/>
      <c r="H99" s="75"/>
      <c r="I99" s="75"/>
      <c r="J99" s="75"/>
      <c r="K99" s="75"/>
      <c r="L99" s="75"/>
      <c r="M99" s="75"/>
      <c r="N99" s="75"/>
      <c r="O99" s="75"/>
      <c r="P99" s="75"/>
      <c r="Q99" s="75"/>
    </row>
    <row r="100" spans="1:17" x14ac:dyDescent="0.25">
      <c r="A100" s="75"/>
      <c r="B100" s="75"/>
      <c r="C100" s="75"/>
      <c r="D100" s="75"/>
      <c r="E100" s="75"/>
      <c r="F100" s="75"/>
      <c r="G100" s="75"/>
      <c r="H100" s="75"/>
      <c r="I100" s="75"/>
      <c r="J100" s="75"/>
      <c r="K100" s="75"/>
      <c r="L100" s="75"/>
      <c r="M100" s="75"/>
      <c r="N100" s="75"/>
      <c r="O100" s="75"/>
      <c r="P100" s="75"/>
      <c r="Q100" s="75"/>
    </row>
    <row r="101" spans="1:17" x14ac:dyDescent="0.25">
      <c r="A101" s="75"/>
      <c r="B101" s="75"/>
      <c r="C101" s="75"/>
      <c r="D101" s="75"/>
      <c r="E101" s="75"/>
      <c r="F101" s="75"/>
      <c r="G101" s="75"/>
      <c r="H101" s="75"/>
      <c r="I101" s="75"/>
      <c r="J101" s="75"/>
      <c r="K101" s="75"/>
      <c r="L101" s="75"/>
      <c r="M101" s="75"/>
      <c r="N101" s="75"/>
      <c r="O101" s="75"/>
      <c r="P101" s="75"/>
      <c r="Q101" s="75"/>
    </row>
    <row r="102" spans="1:17" x14ac:dyDescent="0.25">
      <c r="A102" s="75"/>
      <c r="B102" s="75"/>
      <c r="C102" s="75"/>
      <c r="D102" s="75"/>
      <c r="E102" s="75"/>
      <c r="F102" s="75"/>
      <c r="G102" s="75"/>
      <c r="H102" s="75"/>
      <c r="I102" s="75"/>
      <c r="J102" s="75"/>
      <c r="K102" s="75"/>
      <c r="L102" s="75"/>
      <c r="M102" s="75"/>
      <c r="N102" s="75"/>
      <c r="O102" s="75"/>
      <c r="P102" s="75"/>
      <c r="Q102" s="75"/>
    </row>
    <row r="103" spans="1:17" x14ac:dyDescent="0.25">
      <c r="A103" s="49"/>
      <c r="B103" s="49"/>
      <c r="C103" s="49"/>
      <c r="D103" s="49"/>
      <c r="E103" s="49"/>
      <c r="F103" s="49"/>
      <c r="G103" s="49"/>
      <c r="H103" s="49"/>
      <c r="I103" s="49"/>
      <c r="J103" s="49"/>
      <c r="K103" s="49"/>
      <c r="L103" s="18"/>
      <c r="M103" s="18"/>
      <c r="N103" s="18"/>
      <c r="O103" s="18"/>
      <c r="P103" s="18"/>
    </row>
    <row r="104" spans="1:17" x14ac:dyDescent="0.25">
      <c r="A104" s="50" t="s">
        <v>13</v>
      </c>
      <c r="B104" s="51" t="s">
        <v>0</v>
      </c>
      <c r="C104" s="51" t="s">
        <v>1</v>
      </c>
      <c r="D104" s="51" t="s">
        <v>2</v>
      </c>
      <c r="E104" s="52"/>
      <c r="F104" s="52" t="s">
        <v>15</v>
      </c>
      <c r="G104" s="52" t="s">
        <v>16</v>
      </c>
      <c r="H104" s="52" t="s">
        <v>19</v>
      </c>
      <c r="I104" s="52" t="s">
        <v>20</v>
      </c>
      <c r="J104" s="52"/>
      <c r="K104" s="53"/>
    </row>
    <row r="105" spans="1:17" x14ac:dyDescent="0.25">
      <c r="A105" s="54">
        <f>IF(A3&gt;0,1,0)</f>
        <v>1</v>
      </c>
      <c r="B105" s="55">
        <f>IF(SQRT((K3-M3)^2+(L3-N3)^2)&gt;0,SQRT((I3-K3)^2+(J3-L3)^2)/SQRT((K3-M3)^2+(L3-N3)^2),FALSE)</f>
        <v>1.5282767625015314</v>
      </c>
      <c r="C105" s="55">
        <f>IF(A3&gt;0,IF($Q$1="TPSDig",-ATAN((H105-I105)/(1+I105*H105)),ATAN((H105-I105)/(1+I105*H105)))*180/PI(),FALSE)</f>
        <v>-6.0972685603672714</v>
      </c>
      <c r="D105" s="55">
        <f>IF(SQRT((E3-G3)^2+(F3-H3)^2)&gt;0,SQRT((I3-M3)^2+(J3-N3)^2)/SQRT((E3-G3)^2+(F3-H3)^2),FALSE)</f>
        <v>0.75126183776853661</v>
      </c>
      <c r="E105" s="56"/>
      <c r="F105" s="76">
        <f>(POWER(D3,2)*A3-B3*D3*A3-D3*A3*F3-D3*B3*C3+D3*C3*F3-B3*C3*F3+POWER(B3,2)*C3+E3*POWER(C3,2)+POWER(A3,2)*E3-2*C3*E3*A3+A3*F3*B3)/(POWER(C3,2)-2*A3*C3+POWER(A3,2)+POWER(D3,2)-2*D3*B3+POWER(B3,2))</f>
        <v>994.55247452849073</v>
      </c>
      <c r="G105" s="76">
        <f>(-C3*D3*A3+B3*POWER(C3,2)+D3*POWER(A3,2)-A3*B3*C3+POWER(D3,2)*F3-2*D3*F3*B3+POWER(B3,2)*F3+E3*C3*D3-E3*B3*C3-E3*D3*A3+A3*E3*B3)/(POWER(C3,2)-2*A3*C3+POWER(A3,2)+POWER(D3,2)-2*D3*B3+POWER(B3,2))</f>
        <v>845.87640213206862</v>
      </c>
      <c r="H105" s="76">
        <f>(G105-F3)/(F105-E3)</f>
        <v>-10.372413793103464</v>
      </c>
      <c r="I105" s="77">
        <f>(G105-P3)/(F105-O3)</f>
        <v>97.037917753629898</v>
      </c>
      <c r="J105" s="53"/>
      <c r="K105" s="53"/>
    </row>
    <row r="106" spans="1:17" x14ac:dyDescent="0.25">
      <c r="A106" s="54">
        <f t="shared" ref="A106:A137" si="0">IF(A4&gt;0,A105+1,0)</f>
        <v>2</v>
      </c>
      <c r="B106" s="55">
        <f t="shared" ref="B106:B169" si="1">IF(SQRT((K4-M4)^2+(L4-N4)^2)&gt;0,SQRT((I4-K4)^2+(J4-L4)^2)/SQRT((K4-M4)^2+(L4-N4)^2),FALSE)</f>
        <v>1.9164555202344393</v>
      </c>
      <c r="C106" s="55">
        <f t="shared" ref="C106:C169" si="2">IF(A4&gt;0,IF($Q$1="TPSDig",-ATAN((H106-I106)/(1+I106*H106)),ATAN((H106-I106)/(1+I106*H106)))*180/PI(),FALSE)</f>
        <v>-4.5918000285289304</v>
      </c>
      <c r="D106" s="55">
        <f t="shared" ref="D106:D169" si="3">IF(SQRT((E4-G4)^2+(F4-H4)^2)&gt;0,SQRT((I4-M4)^2+(J4-N4)^2)/SQRT((E4-G4)^2+(F4-H4)^2),FALSE)</f>
        <v>0.76455909290929758</v>
      </c>
      <c r="E106" s="56"/>
      <c r="F106" s="76">
        <f t="shared" ref="F106:F169" si="4">(POWER(D4,2)*A4-B4*D4*A4-D4*A4*F4-D4*B4*C4+D4*C4*F4-B4*C4*F4+POWER(B4,2)*C4+E4*POWER(C4,2)+POWER(A4,2)*E4-2*C4*E4*A4+A4*F4*B4)/(POWER(C4,2)-2*A4*C4+POWER(A4,2)+POWER(D4,2)-2*D4*B4+POWER(B4,2))</f>
        <v>979.39415018136413</v>
      </c>
      <c r="G106" s="76">
        <f t="shared" ref="G106:G169" si="5">(-C4*D4*A4+B4*POWER(C4,2)+D4*POWER(A4,2)-A4*B4*C4+POWER(D4,2)*F4-2*D4*F4*B4+POWER(B4,2)*F4+E4*C4*D4-E4*B4*C4-E4*D4*A4+A4*E4*B4)/(POWER(C4,2)-2*A4*C4+POWER(A4,2)+POWER(D4,2)-2*D4*B4+POWER(B4,2))</f>
        <v>850.32717133033532</v>
      </c>
      <c r="H106" s="76">
        <f t="shared" ref="H106:H169" si="6">(G106-F4)/(F106-E4)</f>
        <v>-10.192052980132472</v>
      </c>
      <c r="I106" s="77">
        <f t="shared" ref="I106:I169" si="7">(G106-P4)/(F106-O4)</f>
        <v>-56.617350742415333</v>
      </c>
      <c r="J106" s="53"/>
      <c r="K106" s="53"/>
    </row>
    <row r="107" spans="1:17" x14ac:dyDescent="0.25">
      <c r="A107" s="54">
        <f t="shared" si="0"/>
        <v>3</v>
      </c>
      <c r="B107" s="55">
        <f t="shared" si="1"/>
        <v>1.6440810344746601</v>
      </c>
      <c r="C107" s="55">
        <f t="shared" si="2"/>
        <v>-5.3578309042592949</v>
      </c>
      <c r="D107" s="55">
        <f t="shared" si="3"/>
        <v>0.79374193977580476</v>
      </c>
      <c r="E107" s="56"/>
      <c r="F107" s="76">
        <f t="shared" si="4"/>
        <v>1039.2363795879489</v>
      </c>
      <c r="G107" s="76">
        <f t="shared" si="5"/>
        <v>819.89612145915544</v>
      </c>
      <c r="H107" s="76">
        <f t="shared" si="6"/>
        <v>-6.7205240174672491</v>
      </c>
      <c r="I107" s="77">
        <f t="shared" si="7"/>
        <v>-18.431322748394368</v>
      </c>
      <c r="J107" s="53"/>
      <c r="K107" s="53"/>
    </row>
    <row r="108" spans="1:17" x14ac:dyDescent="0.25">
      <c r="A108" s="54">
        <f t="shared" si="0"/>
        <v>4</v>
      </c>
      <c r="B108" s="55">
        <f t="shared" si="1"/>
        <v>1.9920147757720568</v>
      </c>
      <c r="C108" s="55">
        <f t="shared" si="2"/>
        <v>-4.5662338573358321</v>
      </c>
      <c r="D108" s="55">
        <f t="shared" si="3"/>
        <v>0.78752269410526632</v>
      </c>
      <c r="E108" s="56"/>
      <c r="F108" s="76">
        <f t="shared" si="4"/>
        <v>979.38866621039153</v>
      </c>
      <c r="G108" s="76">
        <f t="shared" si="5"/>
        <v>849.08300017378508</v>
      </c>
      <c r="H108" s="76">
        <f t="shared" si="6"/>
        <v>-9.9934210526316818</v>
      </c>
      <c r="I108" s="77">
        <f t="shared" si="7"/>
        <v>-49.898456271822809</v>
      </c>
      <c r="J108" s="53"/>
      <c r="K108" s="53"/>
    </row>
    <row r="109" spans="1:17" x14ac:dyDescent="0.25">
      <c r="A109" s="54">
        <f t="shared" si="0"/>
        <v>5</v>
      </c>
      <c r="B109" s="55">
        <f t="shared" si="1"/>
        <v>1.4109272143878087</v>
      </c>
      <c r="C109" s="55">
        <f t="shared" si="2"/>
        <v>-6.7662494691723944</v>
      </c>
      <c r="D109" s="55">
        <f t="shared" si="3"/>
        <v>0.69248655536243242</v>
      </c>
      <c r="E109" s="56"/>
      <c r="F109" s="76">
        <f t="shared" si="4"/>
        <v>972.30388258990695</v>
      </c>
      <c r="G109" s="76">
        <f t="shared" si="5"/>
        <v>830.91145661604571</v>
      </c>
      <c r="H109" s="76">
        <f t="shared" si="6"/>
        <v>-12.544715447154546</v>
      </c>
      <c r="I109" s="77">
        <f t="shared" si="7"/>
        <v>25.929709617922018</v>
      </c>
      <c r="J109" s="53"/>
      <c r="K109" s="53"/>
    </row>
    <row r="110" spans="1:17" x14ac:dyDescent="0.25">
      <c r="A110" s="54">
        <f t="shared" si="0"/>
        <v>6</v>
      </c>
      <c r="B110" s="55">
        <f t="shared" si="1"/>
        <v>1.5483148380786116</v>
      </c>
      <c r="C110" s="55">
        <f t="shared" si="2"/>
        <v>-3.5362210490716239</v>
      </c>
      <c r="D110" s="55">
        <f t="shared" si="3"/>
        <v>0.79753126125719653</v>
      </c>
      <c r="E110" s="56"/>
      <c r="F110" s="76">
        <f t="shared" si="4"/>
        <v>940.30085325937364</v>
      </c>
      <c r="G110" s="76">
        <f t="shared" si="5"/>
        <v>825.88824002762965</v>
      </c>
      <c r="H110" s="76">
        <f t="shared" si="6"/>
        <v>-9.3874999999999531</v>
      </c>
      <c r="I110" s="77">
        <f t="shared" si="7"/>
        <v>-22.504814754488407</v>
      </c>
      <c r="J110" s="53"/>
      <c r="K110" s="53"/>
    </row>
    <row r="111" spans="1:17" x14ac:dyDescent="0.25">
      <c r="A111" s="54">
        <f t="shared" si="0"/>
        <v>7</v>
      </c>
      <c r="B111" s="55">
        <f t="shared" si="1"/>
        <v>1.663250547532251</v>
      </c>
      <c r="C111" s="55">
        <f t="shared" si="2"/>
        <v>-7.5607166044152434</v>
      </c>
      <c r="D111" s="55">
        <f t="shared" si="3"/>
        <v>0.76355889681606737</v>
      </c>
      <c r="E111" s="56"/>
      <c r="F111" s="76">
        <f t="shared" si="4"/>
        <v>1043.6294950962586</v>
      </c>
      <c r="G111" s="76">
        <f t="shared" si="5"/>
        <v>829.18089357065026</v>
      </c>
      <c r="H111" s="76">
        <f t="shared" si="6"/>
        <v>-7.4285714285713684</v>
      </c>
      <c r="I111" s="77">
        <f t="shared" si="7"/>
        <v>-540.07898224221799</v>
      </c>
      <c r="J111" s="53"/>
      <c r="K111" s="53"/>
    </row>
    <row r="112" spans="1:17" x14ac:dyDescent="0.25">
      <c r="A112" s="54">
        <f t="shared" si="0"/>
        <v>8</v>
      </c>
      <c r="B112" s="55">
        <f t="shared" si="1"/>
        <v>1.6113729101070193</v>
      </c>
      <c r="C112" s="55">
        <f t="shared" si="2"/>
        <v>-5.1130694092178013</v>
      </c>
      <c r="D112" s="55">
        <f t="shared" si="3"/>
        <v>0.79825071663242375</v>
      </c>
      <c r="E112" s="56"/>
      <c r="F112" s="76">
        <f t="shared" si="4"/>
        <v>1022.1573626760802</v>
      </c>
      <c r="G112" s="76">
        <f t="shared" si="5"/>
        <v>870.8243365020428</v>
      </c>
      <c r="H112" s="76">
        <f t="shared" si="6"/>
        <v>-12.766666666666662</v>
      </c>
      <c r="I112" s="77">
        <f t="shared" si="7"/>
        <v>90.326293651578098</v>
      </c>
      <c r="J112" s="53"/>
      <c r="K112" s="53"/>
    </row>
    <row r="113" spans="1:11" x14ac:dyDescent="0.25">
      <c r="A113" s="54">
        <f t="shared" si="0"/>
        <v>9</v>
      </c>
      <c r="B113" s="55">
        <f t="shared" si="1"/>
        <v>1.3612874354651794</v>
      </c>
      <c r="C113" s="55">
        <f t="shared" si="2"/>
        <v>-4.9647254738924893</v>
      </c>
      <c r="D113" s="55">
        <f t="shared" si="3"/>
        <v>0.74317772191581455</v>
      </c>
      <c r="E113" s="56"/>
      <c r="F113" s="76">
        <f t="shared" si="4"/>
        <v>1058.8264298628731</v>
      </c>
      <c r="G113" s="76">
        <f t="shared" si="5"/>
        <v>829.45065884926453</v>
      </c>
      <c r="H113" s="76">
        <f t="shared" si="6"/>
        <v>-9.9602649006622705</v>
      </c>
      <c r="I113" s="77">
        <f t="shared" si="7"/>
        <v>-74.551081736922484</v>
      </c>
      <c r="J113" s="53"/>
      <c r="K113" s="53"/>
    </row>
    <row r="114" spans="1:11" x14ac:dyDescent="0.25">
      <c r="A114" s="54">
        <f t="shared" si="0"/>
        <v>10</v>
      </c>
      <c r="B114" s="55">
        <f t="shared" si="1"/>
        <v>1.5079561080918844</v>
      </c>
      <c r="C114" s="55">
        <f t="shared" si="2"/>
        <v>-7.0644883472284175</v>
      </c>
      <c r="D114" s="55">
        <f t="shared" si="3"/>
        <v>0.69820645691262306</v>
      </c>
      <c r="E114" s="56"/>
      <c r="F114" s="76">
        <f t="shared" si="4"/>
        <v>1040.4352452327912</v>
      </c>
      <c r="G114" s="76">
        <f t="shared" si="5"/>
        <v>827.61587934752015</v>
      </c>
      <c r="H114" s="76">
        <f t="shared" si="6"/>
        <v>-9.2335329341316452</v>
      </c>
      <c r="I114" s="77">
        <f t="shared" si="7"/>
        <v>64.853517720887638</v>
      </c>
      <c r="J114" s="53"/>
      <c r="K114" s="53"/>
    </row>
    <row r="115" spans="1:11" x14ac:dyDescent="0.25">
      <c r="A115" s="54">
        <f t="shared" si="0"/>
        <v>11</v>
      </c>
      <c r="B115" s="55">
        <f t="shared" si="1"/>
        <v>1.5252636058549101</v>
      </c>
      <c r="C115" s="55">
        <f t="shared" si="2"/>
        <v>-4.6863161785884637</v>
      </c>
      <c r="D115" s="55">
        <f t="shared" si="3"/>
        <v>0.71058773995579638</v>
      </c>
      <c r="E115" s="56"/>
      <c r="F115" s="76">
        <f t="shared" si="4"/>
        <v>1021.0362551484375</v>
      </c>
      <c r="G115" s="76">
        <f t="shared" si="5"/>
        <v>863.28614630581092</v>
      </c>
      <c r="H115" s="76">
        <f t="shared" si="6"/>
        <v>-9.5187500000000203</v>
      </c>
      <c r="I115" s="77">
        <f t="shared" si="7"/>
        <v>-43.698260778635287</v>
      </c>
      <c r="J115" s="53"/>
      <c r="K115" s="53"/>
    </row>
    <row r="116" spans="1:11" x14ac:dyDescent="0.25">
      <c r="A116" s="54">
        <f t="shared" si="0"/>
        <v>12</v>
      </c>
      <c r="B116" s="55">
        <f t="shared" si="1"/>
        <v>1.3078050972936459</v>
      </c>
      <c r="C116" s="55">
        <f t="shared" si="2"/>
        <v>-4.6137907530132942</v>
      </c>
      <c r="D116" s="55">
        <f t="shared" si="3"/>
        <v>0.72175546395700618</v>
      </c>
      <c r="E116" s="56"/>
      <c r="F116" s="76">
        <f t="shared" si="4"/>
        <v>1007.1665819761038</v>
      </c>
      <c r="G116" s="76">
        <f t="shared" si="5"/>
        <v>836.306689429014</v>
      </c>
      <c r="H116" s="76">
        <f t="shared" si="6"/>
        <v>-11.028776978417307</v>
      </c>
      <c r="I116" s="77">
        <f t="shared" si="7"/>
        <v>-101.01923912967641</v>
      </c>
      <c r="J116" s="53"/>
      <c r="K116" s="53"/>
    </row>
    <row r="117" spans="1:11" x14ac:dyDescent="0.25">
      <c r="A117" s="54">
        <f t="shared" si="0"/>
        <v>13</v>
      </c>
      <c r="B117" s="55">
        <f t="shared" si="1"/>
        <v>1.5893902422370587</v>
      </c>
      <c r="C117" s="55">
        <f t="shared" si="2"/>
        <v>-3.5402492600072959</v>
      </c>
      <c r="D117" s="55">
        <f t="shared" si="3"/>
        <v>0.79523232204098837</v>
      </c>
      <c r="E117" s="56"/>
      <c r="F117" s="76">
        <f t="shared" si="4"/>
        <v>983.74269431405776</v>
      </c>
      <c r="G117" s="76">
        <f t="shared" si="5"/>
        <v>837.06106243073384</v>
      </c>
      <c r="H117" s="76">
        <f t="shared" si="6"/>
        <v>-12.565573770491914</v>
      </c>
      <c r="I117" s="77">
        <f t="shared" si="7"/>
        <v>-56.728047179918541</v>
      </c>
      <c r="J117" s="53"/>
      <c r="K117" s="53"/>
    </row>
    <row r="118" spans="1:11" x14ac:dyDescent="0.25">
      <c r="A118" s="54">
        <f t="shared" si="0"/>
        <v>0</v>
      </c>
      <c r="B118" s="55" t="b">
        <f t="shared" si="1"/>
        <v>0</v>
      </c>
      <c r="C118" s="55" t="b">
        <f t="shared" si="2"/>
        <v>0</v>
      </c>
      <c r="D118" s="55" t="b">
        <f t="shared" si="3"/>
        <v>0</v>
      </c>
      <c r="E118" s="56"/>
      <c r="F118" s="76" t="e">
        <f t="shared" si="4"/>
        <v>#DIV/0!</v>
      </c>
      <c r="G118" s="76" t="e">
        <f t="shared" si="5"/>
        <v>#DIV/0!</v>
      </c>
      <c r="H118" s="76" t="e">
        <f t="shared" si="6"/>
        <v>#DIV/0!</v>
      </c>
      <c r="I118" s="77" t="e">
        <f t="shared" si="7"/>
        <v>#DIV/0!</v>
      </c>
      <c r="J118" s="53"/>
      <c r="K118" s="53"/>
    </row>
    <row r="119" spans="1:11" x14ac:dyDescent="0.25">
      <c r="A119" s="54">
        <f t="shared" si="0"/>
        <v>0</v>
      </c>
      <c r="B119" s="55" t="b">
        <f t="shared" si="1"/>
        <v>0</v>
      </c>
      <c r="C119" s="55" t="b">
        <f t="shared" si="2"/>
        <v>0</v>
      </c>
      <c r="D119" s="55" t="b">
        <f t="shared" si="3"/>
        <v>0</v>
      </c>
      <c r="E119" s="56"/>
      <c r="F119" s="76" t="e">
        <f t="shared" si="4"/>
        <v>#DIV/0!</v>
      </c>
      <c r="G119" s="76" t="e">
        <f t="shared" si="5"/>
        <v>#DIV/0!</v>
      </c>
      <c r="H119" s="76" t="e">
        <f t="shared" si="6"/>
        <v>#DIV/0!</v>
      </c>
      <c r="I119" s="77" t="e">
        <f t="shared" si="7"/>
        <v>#DIV/0!</v>
      </c>
      <c r="J119" s="53"/>
      <c r="K119" s="53"/>
    </row>
    <row r="120" spans="1:11" x14ac:dyDescent="0.25">
      <c r="A120" s="54">
        <f t="shared" si="0"/>
        <v>0</v>
      </c>
      <c r="B120" s="55" t="b">
        <f t="shared" si="1"/>
        <v>0</v>
      </c>
      <c r="C120" s="55" t="b">
        <f t="shared" si="2"/>
        <v>0</v>
      </c>
      <c r="D120" s="55" t="b">
        <f t="shared" si="3"/>
        <v>0</v>
      </c>
      <c r="E120" s="56"/>
      <c r="F120" s="76" t="e">
        <f t="shared" si="4"/>
        <v>#DIV/0!</v>
      </c>
      <c r="G120" s="76" t="e">
        <f t="shared" si="5"/>
        <v>#DIV/0!</v>
      </c>
      <c r="H120" s="76" t="e">
        <f t="shared" si="6"/>
        <v>#DIV/0!</v>
      </c>
      <c r="I120" s="77" t="e">
        <f t="shared" si="7"/>
        <v>#DIV/0!</v>
      </c>
      <c r="J120" s="53"/>
      <c r="K120" s="53"/>
    </row>
    <row r="121" spans="1:11" x14ac:dyDescent="0.25">
      <c r="A121" s="54">
        <f t="shared" si="0"/>
        <v>0</v>
      </c>
      <c r="B121" s="55" t="b">
        <f t="shared" si="1"/>
        <v>0</v>
      </c>
      <c r="C121" s="55" t="b">
        <f t="shared" si="2"/>
        <v>0</v>
      </c>
      <c r="D121" s="55" t="b">
        <f t="shared" si="3"/>
        <v>0</v>
      </c>
      <c r="E121" s="56"/>
      <c r="F121" s="76" t="e">
        <f t="shared" si="4"/>
        <v>#DIV/0!</v>
      </c>
      <c r="G121" s="76" t="e">
        <f t="shared" si="5"/>
        <v>#DIV/0!</v>
      </c>
      <c r="H121" s="76" t="e">
        <f t="shared" si="6"/>
        <v>#DIV/0!</v>
      </c>
      <c r="I121" s="77" t="e">
        <f t="shared" si="7"/>
        <v>#DIV/0!</v>
      </c>
      <c r="J121" s="53"/>
      <c r="K121" s="53"/>
    </row>
    <row r="122" spans="1:11" x14ac:dyDescent="0.25">
      <c r="A122" s="54">
        <f t="shared" si="0"/>
        <v>0</v>
      </c>
      <c r="B122" s="55" t="b">
        <f t="shared" si="1"/>
        <v>0</v>
      </c>
      <c r="C122" s="55" t="b">
        <f t="shared" si="2"/>
        <v>0</v>
      </c>
      <c r="D122" s="55" t="b">
        <f t="shared" si="3"/>
        <v>0</v>
      </c>
      <c r="E122" s="56"/>
      <c r="F122" s="76" t="e">
        <f t="shared" si="4"/>
        <v>#DIV/0!</v>
      </c>
      <c r="G122" s="76" t="e">
        <f t="shared" si="5"/>
        <v>#DIV/0!</v>
      </c>
      <c r="H122" s="76" t="e">
        <f t="shared" si="6"/>
        <v>#DIV/0!</v>
      </c>
      <c r="I122" s="77" t="e">
        <f t="shared" si="7"/>
        <v>#DIV/0!</v>
      </c>
      <c r="J122" s="53"/>
      <c r="K122" s="53"/>
    </row>
    <row r="123" spans="1:11" x14ac:dyDescent="0.25">
      <c r="A123" s="54">
        <f t="shared" si="0"/>
        <v>0</v>
      </c>
      <c r="B123" s="55" t="b">
        <f t="shared" si="1"/>
        <v>0</v>
      </c>
      <c r="C123" s="55" t="b">
        <f t="shared" si="2"/>
        <v>0</v>
      </c>
      <c r="D123" s="55" t="b">
        <f t="shared" si="3"/>
        <v>0</v>
      </c>
      <c r="E123" s="56"/>
      <c r="F123" s="76" t="e">
        <f t="shared" si="4"/>
        <v>#DIV/0!</v>
      </c>
      <c r="G123" s="76" t="e">
        <f t="shared" si="5"/>
        <v>#DIV/0!</v>
      </c>
      <c r="H123" s="76" t="e">
        <f t="shared" si="6"/>
        <v>#DIV/0!</v>
      </c>
      <c r="I123" s="77" t="e">
        <f t="shared" si="7"/>
        <v>#DIV/0!</v>
      </c>
      <c r="J123" s="53"/>
      <c r="K123" s="53"/>
    </row>
    <row r="124" spans="1:11" x14ac:dyDescent="0.25">
      <c r="A124" s="54">
        <f t="shared" si="0"/>
        <v>0</v>
      </c>
      <c r="B124" s="55" t="b">
        <f t="shared" si="1"/>
        <v>0</v>
      </c>
      <c r="C124" s="55" t="b">
        <f t="shared" si="2"/>
        <v>0</v>
      </c>
      <c r="D124" s="55" t="b">
        <f t="shared" si="3"/>
        <v>0</v>
      </c>
      <c r="E124" s="56"/>
      <c r="F124" s="76" t="e">
        <f t="shared" si="4"/>
        <v>#DIV/0!</v>
      </c>
      <c r="G124" s="76" t="e">
        <f t="shared" si="5"/>
        <v>#DIV/0!</v>
      </c>
      <c r="H124" s="76" t="e">
        <f t="shared" si="6"/>
        <v>#DIV/0!</v>
      </c>
      <c r="I124" s="77" t="e">
        <f t="shared" si="7"/>
        <v>#DIV/0!</v>
      </c>
      <c r="J124" s="53"/>
      <c r="K124" s="53"/>
    </row>
    <row r="125" spans="1:11" x14ac:dyDescent="0.25">
      <c r="A125" s="54">
        <f t="shared" si="0"/>
        <v>0</v>
      </c>
      <c r="B125" s="55" t="b">
        <f t="shared" si="1"/>
        <v>0</v>
      </c>
      <c r="C125" s="55" t="b">
        <f t="shared" si="2"/>
        <v>0</v>
      </c>
      <c r="D125" s="55" t="b">
        <f t="shared" si="3"/>
        <v>0</v>
      </c>
      <c r="E125" s="56"/>
      <c r="F125" s="76" t="e">
        <f t="shared" si="4"/>
        <v>#DIV/0!</v>
      </c>
      <c r="G125" s="76" t="e">
        <f t="shared" si="5"/>
        <v>#DIV/0!</v>
      </c>
      <c r="H125" s="76" t="e">
        <f t="shared" si="6"/>
        <v>#DIV/0!</v>
      </c>
      <c r="I125" s="77" t="e">
        <f t="shared" si="7"/>
        <v>#DIV/0!</v>
      </c>
      <c r="J125" s="53"/>
      <c r="K125" s="53"/>
    </row>
    <row r="126" spans="1:11" x14ac:dyDescent="0.25">
      <c r="A126" s="54">
        <f t="shared" si="0"/>
        <v>0</v>
      </c>
      <c r="B126" s="55" t="b">
        <f t="shared" si="1"/>
        <v>0</v>
      </c>
      <c r="C126" s="55" t="b">
        <f t="shared" si="2"/>
        <v>0</v>
      </c>
      <c r="D126" s="55" t="b">
        <f t="shared" si="3"/>
        <v>0</v>
      </c>
      <c r="E126" s="56"/>
      <c r="F126" s="76" t="e">
        <f t="shared" si="4"/>
        <v>#DIV/0!</v>
      </c>
      <c r="G126" s="76" t="e">
        <f t="shared" si="5"/>
        <v>#DIV/0!</v>
      </c>
      <c r="H126" s="76" t="e">
        <f t="shared" si="6"/>
        <v>#DIV/0!</v>
      </c>
      <c r="I126" s="77" t="e">
        <f t="shared" si="7"/>
        <v>#DIV/0!</v>
      </c>
      <c r="J126" s="53"/>
      <c r="K126" s="53"/>
    </row>
    <row r="127" spans="1:11" x14ac:dyDescent="0.25">
      <c r="A127" s="54">
        <f t="shared" si="0"/>
        <v>0</v>
      </c>
      <c r="B127" s="55" t="b">
        <f t="shared" si="1"/>
        <v>0</v>
      </c>
      <c r="C127" s="55" t="b">
        <f t="shared" si="2"/>
        <v>0</v>
      </c>
      <c r="D127" s="55" t="b">
        <f t="shared" si="3"/>
        <v>0</v>
      </c>
      <c r="E127" s="56"/>
      <c r="F127" s="76" t="e">
        <f t="shared" si="4"/>
        <v>#DIV/0!</v>
      </c>
      <c r="G127" s="76" t="e">
        <f t="shared" si="5"/>
        <v>#DIV/0!</v>
      </c>
      <c r="H127" s="76" t="e">
        <f t="shared" si="6"/>
        <v>#DIV/0!</v>
      </c>
      <c r="I127" s="77" t="e">
        <f t="shared" si="7"/>
        <v>#DIV/0!</v>
      </c>
      <c r="J127" s="53"/>
      <c r="K127" s="53"/>
    </row>
    <row r="128" spans="1:11" x14ac:dyDescent="0.25">
      <c r="A128" s="54">
        <f t="shared" si="0"/>
        <v>0</v>
      </c>
      <c r="B128" s="55" t="b">
        <f t="shared" si="1"/>
        <v>0</v>
      </c>
      <c r="C128" s="55" t="b">
        <f t="shared" si="2"/>
        <v>0</v>
      </c>
      <c r="D128" s="55" t="b">
        <f t="shared" si="3"/>
        <v>0</v>
      </c>
      <c r="E128" s="56"/>
      <c r="F128" s="76" t="e">
        <f t="shared" si="4"/>
        <v>#DIV/0!</v>
      </c>
      <c r="G128" s="76" t="e">
        <f t="shared" si="5"/>
        <v>#DIV/0!</v>
      </c>
      <c r="H128" s="76" t="e">
        <f t="shared" si="6"/>
        <v>#DIV/0!</v>
      </c>
      <c r="I128" s="77" t="e">
        <f t="shared" si="7"/>
        <v>#DIV/0!</v>
      </c>
      <c r="J128" s="53"/>
      <c r="K128" s="53"/>
    </row>
    <row r="129" spans="1:11" x14ac:dyDescent="0.25">
      <c r="A129" s="54">
        <f t="shared" si="0"/>
        <v>0</v>
      </c>
      <c r="B129" s="55" t="b">
        <f t="shared" si="1"/>
        <v>0</v>
      </c>
      <c r="C129" s="55" t="b">
        <f t="shared" si="2"/>
        <v>0</v>
      </c>
      <c r="D129" s="55" t="b">
        <f t="shared" si="3"/>
        <v>0</v>
      </c>
      <c r="E129" s="56"/>
      <c r="F129" s="76" t="e">
        <f t="shared" si="4"/>
        <v>#DIV/0!</v>
      </c>
      <c r="G129" s="76" t="e">
        <f t="shared" si="5"/>
        <v>#DIV/0!</v>
      </c>
      <c r="H129" s="76" t="e">
        <f t="shared" si="6"/>
        <v>#DIV/0!</v>
      </c>
      <c r="I129" s="77" t="e">
        <f t="shared" si="7"/>
        <v>#DIV/0!</v>
      </c>
      <c r="J129" s="53"/>
      <c r="K129" s="53"/>
    </row>
    <row r="130" spans="1:11" x14ac:dyDescent="0.25">
      <c r="A130" s="54">
        <f t="shared" si="0"/>
        <v>0</v>
      </c>
      <c r="B130" s="55" t="b">
        <f t="shared" si="1"/>
        <v>0</v>
      </c>
      <c r="C130" s="55" t="b">
        <f t="shared" si="2"/>
        <v>0</v>
      </c>
      <c r="D130" s="55" t="b">
        <f t="shared" si="3"/>
        <v>0</v>
      </c>
      <c r="E130" s="56"/>
      <c r="F130" s="76" t="e">
        <f t="shared" si="4"/>
        <v>#DIV/0!</v>
      </c>
      <c r="G130" s="76" t="e">
        <f t="shared" si="5"/>
        <v>#DIV/0!</v>
      </c>
      <c r="H130" s="76" t="e">
        <f t="shared" si="6"/>
        <v>#DIV/0!</v>
      </c>
      <c r="I130" s="77" t="e">
        <f t="shared" si="7"/>
        <v>#DIV/0!</v>
      </c>
      <c r="J130" s="53"/>
      <c r="K130" s="53"/>
    </row>
    <row r="131" spans="1:11" x14ac:dyDescent="0.25">
      <c r="A131" s="54">
        <f t="shared" si="0"/>
        <v>0</v>
      </c>
      <c r="B131" s="55" t="b">
        <f t="shared" si="1"/>
        <v>0</v>
      </c>
      <c r="C131" s="55" t="b">
        <f t="shared" si="2"/>
        <v>0</v>
      </c>
      <c r="D131" s="55" t="b">
        <f t="shared" si="3"/>
        <v>0</v>
      </c>
      <c r="E131" s="56"/>
      <c r="F131" s="76" t="e">
        <f t="shared" si="4"/>
        <v>#DIV/0!</v>
      </c>
      <c r="G131" s="76" t="e">
        <f t="shared" si="5"/>
        <v>#DIV/0!</v>
      </c>
      <c r="H131" s="76" t="e">
        <f t="shared" si="6"/>
        <v>#DIV/0!</v>
      </c>
      <c r="I131" s="77" t="e">
        <f t="shared" si="7"/>
        <v>#DIV/0!</v>
      </c>
      <c r="J131" s="53"/>
      <c r="K131" s="53"/>
    </row>
    <row r="132" spans="1:11" x14ac:dyDescent="0.25">
      <c r="A132" s="54">
        <f t="shared" si="0"/>
        <v>0</v>
      </c>
      <c r="B132" s="55" t="b">
        <f t="shared" si="1"/>
        <v>0</v>
      </c>
      <c r="C132" s="55" t="b">
        <f t="shared" si="2"/>
        <v>0</v>
      </c>
      <c r="D132" s="55" t="b">
        <f t="shared" si="3"/>
        <v>0</v>
      </c>
      <c r="E132" s="56"/>
      <c r="F132" s="76" t="e">
        <f t="shared" si="4"/>
        <v>#DIV/0!</v>
      </c>
      <c r="G132" s="76" t="e">
        <f t="shared" si="5"/>
        <v>#DIV/0!</v>
      </c>
      <c r="H132" s="76" t="e">
        <f t="shared" si="6"/>
        <v>#DIV/0!</v>
      </c>
      <c r="I132" s="77" t="e">
        <f t="shared" si="7"/>
        <v>#DIV/0!</v>
      </c>
      <c r="J132" s="53"/>
      <c r="K132" s="53"/>
    </row>
    <row r="133" spans="1:11" x14ac:dyDescent="0.25">
      <c r="A133" s="54">
        <f t="shared" si="0"/>
        <v>0</v>
      </c>
      <c r="B133" s="55" t="b">
        <f t="shared" si="1"/>
        <v>0</v>
      </c>
      <c r="C133" s="55" t="b">
        <f t="shared" si="2"/>
        <v>0</v>
      </c>
      <c r="D133" s="55" t="b">
        <f t="shared" si="3"/>
        <v>0</v>
      </c>
      <c r="E133" s="56"/>
      <c r="F133" s="76" t="e">
        <f t="shared" si="4"/>
        <v>#DIV/0!</v>
      </c>
      <c r="G133" s="76" t="e">
        <f t="shared" si="5"/>
        <v>#DIV/0!</v>
      </c>
      <c r="H133" s="76" t="e">
        <f t="shared" si="6"/>
        <v>#DIV/0!</v>
      </c>
      <c r="I133" s="77" t="e">
        <f t="shared" si="7"/>
        <v>#DIV/0!</v>
      </c>
      <c r="J133" s="53"/>
      <c r="K133" s="53"/>
    </row>
    <row r="134" spans="1:11" x14ac:dyDescent="0.25">
      <c r="A134" s="54">
        <f t="shared" si="0"/>
        <v>0</v>
      </c>
      <c r="B134" s="55" t="b">
        <f t="shared" si="1"/>
        <v>0</v>
      </c>
      <c r="C134" s="55" t="b">
        <f t="shared" si="2"/>
        <v>0</v>
      </c>
      <c r="D134" s="55" t="b">
        <f t="shared" si="3"/>
        <v>0</v>
      </c>
      <c r="E134" s="56"/>
      <c r="F134" s="76" t="e">
        <f t="shared" si="4"/>
        <v>#DIV/0!</v>
      </c>
      <c r="G134" s="76" t="e">
        <f t="shared" si="5"/>
        <v>#DIV/0!</v>
      </c>
      <c r="H134" s="76" t="e">
        <f t="shared" si="6"/>
        <v>#DIV/0!</v>
      </c>
      <c r="I134" s="77" t="e">
        <f t="shared" si="7"/>
        <v>#DIV/0!</v>
      </c>
      <c r="J134" s="53"/>
      <c r="K134" s="53"/>
    </row>
    <row r="135" spans="1:11" x14ac:dyDescent="0.25">
      <c r="A135" s="54">
        <f t="shared" si="0"/>
        <v>0</v>
      </c>
      <c r="B135" s="55" t="b">
        <f t="shared" si="1"/>
        <v>0</v>
      </c>
      <c r="C135" s="55" t="b">
        <f t="shared" si="2"/>
        <v>0</v>
      </c>
      <c r="D135" s="55" t="b">
        <f t="shared" si="3"/>
        <v>0</v>
      </c>
      <c r="E135" s="56"/>
      <c r="F135" s="76" t="e">
        <f t="shared" si="4"/>
        <v>#DIV/0!</v>
      </c>
      <c r="G135" s="76" t="e">
        <f t="shared" si="5"/>
        <v>#DIV/0!</v>
      </c>
      <c r="H135" s="76" t="e">
        <f t="shared" si="6"/>
        <v>#DIV/0!</v>
      </c>
      <c r="I135" s="77" t="e">
        <f t="shared" si="7"/>
        <v>#DIV/0!</v>
      </c>
      <c r="J135" s="53"/>
      <c r="K135" s="53"/>
    </row>
    <row r="136" spans="1:11" x14ac:dyDescent="0.25">
      <c r="A136" s="54">
        <f t="shared" si="0"/>
        <v>0</v>
      </c>
      <c r="B136" s="55" t="b">
        <f t="shared" si="1"/>
        <v>0</v>
      </c>
      <c r="C136" s="55" t="b">
        <f t="shared" si="2"/>
        <v>0</v>
      </c>
      <c r="D136" s="55" t="b">
        <f t="shared" si="3"/>
        <v>0</v>
      </c>
      <c r="E136" s="56"/>
      <c r="F136" s="76" t="e">
        <f t="shared" si="4"/>
        <v>#DIV/0!</v>
      </c>
      <c r="G136" s="76" t="e">
        <f t="shared" si="5"/>
        <v>#DIV/0!</v>
      </c>
      <c r="H136" s="76" t="e">
        <f t="shared" si="6"/>
        <v>#DIV/0!</v>
      </c>
      <c r="I136" s="77" t="e">
        <f t="shared" si="7"/>
        <v>#DIV/0!</v>
      </c>
      <c r="J136" s="53"/>
      <c r="K136" s="53"/>
    </row>
    <row r="137" spans="1:11" x14ac:dyDescent="0.25">
      <c r="A137" s="54">
        <f t="shared" si="0"/>
        <v>0</v>
      </c>
      <c r="B137" s="55" t="b">
        <f t="shared" si="1"/>
        <v>0</v>
      </c>
      <c r="C137" s="55" t="b">
        <f t="shared" si="2"/>
        <v>0</v>
      </c>
      <c r="D137" s="55" t="b">
        <f t="shared" si="3"/>
        <v>0</v>
      </c>
      <c r="E137" s="56"/>
      <c r="F137" s="76" t="e">
        <f t="shared" si="4"/>
        <v>#DIV/0!</v>
      </c>
      <c r="G137" s="76" t="e">
        <f t="shared" si="5"/>
        <v>#DIV/0!</v>
      </c>
      <c r="H137" s="76" t="e">
        <f t="shared" si="6"/>
        <v>#DIV/0!</v>
      </c>
      <c r="I137" s="77" t="e">
        <f t="shared" si="7"/>
        <v>#DIV/0!</v>
      </c>
      <c r="J137" s="53"/>
      <c r="K137" s="53"/>
    </row>
    <row r="138" spans="1:11" x14ac:dyDescent="0.25">
      <c r="A138" s="54">
        <f t="shared" ref="A138:A169" si="8">IF(A36&gt;0,A137+1,0)</f>
        <v>0</v>
      </c>
      <c r="B138" s="55" t="b">
        <f t="shared" si="1"/>
        <v>0</v>
      </c>
      <c r="C138" s="55" t="b">
        <f t="shared" si="2"/>
        <v>0</v>
      </c>
      <c r="D138" s="55" t="b">
        <f t="shared" si="3"/>
        <v>0</v>
      </c>
      <c r="E138" s="56"/>
      <c r="F138" s="76" t="e">
        <f t="shared" si="4"/>
        <v>#DIV/0!</v>
      </c>
      <c r="G138" s="76" t="e">
        <f t="shared" si="5"/>
        <v>#DIV/0!</v>
      </c>
      <c r="H138" s="76" t="e">
        <f t="shared" si="6"/>
        <v>#DIV/0!</v>
      </c>
      <c r="I138" s="77" t="e">
        <f t="shared" si="7"/>
        <v>#DIV/0!</v>
      </c>
      <c r="J138" s="53"/>
      <c r="K138" s="53"/>
    </row>
    <row r="139" spans="1:11" x14ac:dyDescent="0.25">
      <c r="A139" s="54">
        <f t="shared" si="8"/>
        <v>0</v>
      </c>
      <c r="B139" s="55" t="b">
        <f t="shared" si="1"/>
        <v>0</v>
      </c>
      <c r="C139" s="55" t="b">
        <f t="shared" si="2"/>
        <v>0</v>
      </c>
      <c r="D139" s="55" t="b">
        <f t="shared" si="3"/>
        <v>0</v>
      </c>
      <c r="E139" s="56"/>
      <c r="F139" s="76" t="e">
        <f t="shared" si="4"/>
        <v>#DIV/0!</v>
      </c>
      <c r="G139" s="76" t="e">
        <f t="shared" si="5"/>
        <v>#DIV/0!</v>
      </c>
      <c r="H139" s="76" t="e">
        <f t="shared" si="6"/>
        <v>#DIV/0!</v>
      </c>
      <c r="I139" s="77" t="e">
        <f t="shared" si="7"/>
        <v>#DIV/0!</v>
      </c>
      <c r="J139" s="53"/>
      <c r="K139" s="53"/>
    </row>
    <row r="140" spans="1:11" x14ac:dyDescent="0.25">
      <c r="A140" s="54">
        <f t="shared" si="8"/>
        <v>0</v>
      </c>
      <c r="B140" s="55" t="b">
        <f t="shared" si="1"/>
        <v>0</v>
      </c>
      <c r="C140" s="55" t="b">
        <f t="shared" si="2"/>
        <v>0</v>
      </c>
      <c r="D140" s="55" t="b">
        <f t="shared" si="3"/>
        <v>0</v>
      </c>
      <c r="E140" s="56"/>
      <c r="F140" s="76" t="e">
        <f t="shared" si="4"/>
        <v>#DIV/0!</v>
      </c>
      <c r="G140" s="76" t="e">
        <f t="shared" si="5"/>
        <v>#DIV/0!</v>
      </c>
      <c r="H140" s="76" t="e">
        <f t="shared" si="6"/>
        <v>#DIV/0!</v>
      </c>
      <c r="I140" s="77" t="e">
        <f t="shared" si="7"/>
        <v>#DIV/0!</v>
      </c>
      <c r="J140" s="53"/>
      <c r="K140" s="53"/>
    </row>
    <row r="141" spans="1:11" x14ac:dyDescent="0.25">
      <c r="A141" s="54">
        <f t="shared" si="8"/>
        <v>0</v>
      </c>
      <c r="B141" s="55" t="b">
        <f t="shared" si="1"/>
        <v>0</v>
      </c>
      <c r="C141" s="55" t="b">
        <f t="shared" si="2"/>
        <v>0</v>
      </c>
      <c r="D141" s="55" t="b">
        <f t="shared" si="3"/>
        <v>0</v>
      </c>
      <c r="E141" s="56"/>
      <c r="F141" s="76" t="e">
        <f t="shared" si="4"/>
        <v>#DIV/0!</v>
      </c>
      <c r="G141" s="76" t="e">
        <f t="shared" si="5"/>
        <v>#DIV/0!</v>
      </c>
      <c r="H141" s="76" t="e">
        <f t="shared" si="6"/>
        <v>#DIV/0!</v>
      </c>
      <c r="I141" s="77" t="e">
        <f t="shared" si="7"/>
        <v>#DIV/0!</v>
      </c>
      <c r="J141" s="53"/>
      <c r="K141" s="53"/>
    </row>
    <row r="142" spans="1:11" x14ac:dyDescent="0.25">
      <c r="A142" s="54">
        <f t="shared" si="8"/>
        <v>0</v>
      </c>
      <c r="B142" s="55" t="b">
        <f t="shared" si="1"/>
        <v>0</v>
      </c>
      <c r="C142" s="55" t="b">
        <f t="shared" si="2"/>
        <v>0</v>
      </c>
      <c r="D142" s="55" t="b">
        <f t="shared" si="3"/>
        <v>0</v>
      </c>
      <c r="E142" s="56"/>
      <c r="F142" s="76" t="e">
        <f t="shared" si="4"/>
        <v>#DIV/0!</v>
      </c>
      <c r="G142" s="76" t="e">
        <f t="shared" si="5"/>
        <v>#DIV/0!</v>
      </c>
      <c r="H142" s="76" t="e">
        <f t="shared" si="6"/>
        <v>#DIV/0!</v>
      </c>
      <c r="I142" s="77" t="e">
        <f t="shared" si="7"/>
        <v>#DIV/0!</v>
      </c>
      <c r="J142" s="53"/>
      <c r="K142" s="53"/>
    </row>
    <row r="143" spans="1:11" x14ac:dyDescent="0.25">
      <c r="A143" s="54">
        <f t="shared" si="8"/>
        <v>0</v>
      </c>
      <c r="B143" s="55" t="b">
        <f t="shared" si="1"/>
        <v>0</v>
      </c>
      <c r="C143" s="55" t="b">
        <f t="shared" si="2"/>
        <v>0</v>
      </c>
      <c r="D143" s="55" t="b">
        <f t="shared" si="3"/>
        <v>0</v>
      </c>
      <c r="E143" s="56"/>
      <c r="F143" s="76" t="e">
        <f t="shared" si="4"/>
        <v>#DIV/0!</v>
      </c>
      <c r="G143" s="76" t="e">
        <f t="shared" si="5"/>
        <v>#DIV/0!</v>
      </c>
      <c r="H143" s="76" t="e">
        <f t="shared" si="6"/>
        <v>#DIV/0!</v>
      </c>
      <c r="I143" s="77" t="e">
        <f t="shared" si="7"/>
        <v>#DIV/0!</v>
      </c>
      <c r="J143" s="53"/>
      <c r="K143" s="53"/>
    </row>
    <row r="144" spans="1:11" x14ac:dyDescent="0.25">
      <c r="A144" s="54">
        <f t="shared" si="8"/>
        <v>0</v>
      </c>
      <c r="B144" s="55" t="b">
        <f t="shared" si="1"/>
        <v>0</v>
      </c>
      <c r="C144" s="55" t="b">
        <f t="shared" si="2"/>
        <v>0</v>
      </c>
      <c r="D144" s="55" t="b">
        <f t="shared" si="3"/>
        <v>0</v>
      </c>
      <c r="E144" s="56"/>
      <c r="F144" s="76" t="e">
        <f t="shared" si="4"/>
        <v>#DIV/0!</v>
      </c>
      <c r="G144" s="76" t="e">
        <f t="shared" si="5"/>
        <v>#DIV/0!</v>
      </c>
      <c r="H144" s="76" t="e">
        <f t="shared" si="6"/>
        <v>#DIV/0!</v>
      </c>
      <c r="I144" s="77" t="e">
        <f t="shared" si="7"/>
        <v>#DIV/0!</v>
      </c>
      <c r="J144" s="53"/>
      <c r="K144" s="53"/>
    </row>
    <row r="145" spans="1:11" x14ac:dyDescent="0.25">
      <c r="A145" s="54">
        <f t="shared" si="8"/>
        <v>0</v>
      </c>
      <c r="B145" s="55" t="b">
        <f t="shared" si="1"/>
        <v>0</v>
      </c>
      <c r="C145" s="55" t="b">
        <f t="shared" si="2"/>
        <v>0</v>
      </c>
      <c r="D145" s="55" t="b">
        <f t="shared" si="3"/>
        <v>0</v>
      </c>
      <c r="E145" s="56"/>
      <c r="F145" s="76" t="e">
        <f t="shared" si="4"/>
        <v>#DIV/0!</v>
      </c>
      <c r="G145" s="76" t="e">
        <f t="shared" si="5"/>
        <v>#DIV/0!</v>
      </c>
      <c r="H145" s="76" t="e">
        <f t="shared" si="6"/>
        <v>#DIV/0!</v>
      </c>
      <c r="I145" s="77" t="e">
        <f t="shared" si="7"/>
        <v>#DIV/0!</v>
      </c>
      <c r="J145" s="53"/>
      <c r="K145" s="53"/>
    </row>
    <row r="146" spans="1:11" x14ac:dyDescent="0.25">
      <c r="A146" s="54">
        <f t="shared" si="8"/>
        <v>0</v>
      </c>
      <c r="B146" s="55" t="b">
        <f t="shared" si="1"/>
        <v>0</v>
      </c>
      <c r="C146" s="55" t="b">
        <f t="shared" si="2"/>
        <v>0</v>
      </c>
      <c r="D146" s="55" t="b">
        <f t="shared" si="3"/>
        <v>0</v>
      </c>
      <c r="E146" s="56"/>
      <c r="F146" s="76" t="e">
        <f t="shared" si="4"/>
        <v>#DIV/0!</v>
      </c>
      <c r="G146" s="76" t="e">
        <f t="shared" si="5"/>
        <v>#DIV/0!</v>
      </c>
      <c r="H146" s="76" t="e">
        <f t="shared" si="6"/>
        <v>#DIV/0!</v>
      </c>
      <c r="I146" s="77" t="e">
        <f t="shared" si="7"/>
        <v>#DIV/0!</v>
      </c>
      <c r="J146" s="53"/>
      <c r="K146" s="53"/>
    </row>
    <row r="147" spans="1:11" x14ac:dyDescent="0.25">
      <c r="A147" s="54">
        <f t="shared" si="8"/>
        <v>0</v>
      </c>
      <c r="B147" s="55" t="b">
        <f t="shared" si="1"/>
        <v>0</v>
      </c>
      <c r="C147" s="55" t="b">
        <f t="shared" si="2"/>
        <v>0</v>
      </c>
      <c r="D147" s="55" t="b">
        <f t="shared" si="3"/>
        <v>0</v>
      </c>
      <c r="E147" s="56"/>
      <c r="F147" s="76" t="e">
        <f t="shared" si="4"/>
        <v>#DIV/0!</v>
      </c>
      <c r="G147" s="76" t="e">
        <f t="shared" si="5"/>
        <v>#DIV/0!</v>
      </c>
      <c r="H147" s="76" t="e">
        <f t="shared" si="6"/>
        <v>#DIV/0!</v>
      </c>
      <c r="I147" s="77" t="e">
        <f t="shared" si="7"/>
        <v>#DIV/0!</v>
      </c>
      <c r="J147" s="53"/>
      <c r="K147" s="53"/>
    </row>
    <row r="148" spans="1:11" x14ac:dyDescent="0.25">
      <c r="A148" s="54">
        <f t="shared" si="8"/>
        <v>0</v>
      </c>
      <c r="B148" s="55" t="b">
        <f t="shared" si="1"/>
        <v>0</v>
      </c>
      <c r="C148" s="55" t="b">
        <f t="shared" si="2"/>
        <v>0</v>
      </c>
      <c r="D148" s="55" t="b">
        <f t="shared" si="3"/>
        <v>0</v>
      </c>
      <c r="E148" s="56"/>
      <c r="F148" s="76" t="e">
        <f t="shared" si="4"/>
        <v>#DIV/0!</v>
      </c>
      <c r="G148" s="76" t="e">
        <f t="shared" si="5"/>
        <v>#DIV/0!</v>
      </c>
      <c r="H148" s="76" t="e">
        <f t="shared" si="6"/>
        <v>#DIV/0!</v>
      </c>
      <c r="I148" s="77" t="e">
        <f t="shared" si="7"/>
        <v>#DIV/0!</v>
      </c>
      <c r="J148" s="53"/>
      <c r="K148" s="53"/>
    </row>
    <row r="149" spans="1:11" x14ac:dyDescent="0.25">
      <c r="A149" s="54">
        <f t="shared" si="8"/>
        <v>0</v>
      </c>
      <c r="B149" s="55" t="b">
        <f t="shared" si="1"/>
        <v>0</v>
      </c>
      <c r="C149" s="55" t="b">
        <f t="shared" si="2"/>
        <v>0</v>
      </c>
      <c r="D149" s="55" t="b">
        <f t="shared" si="3"/>
        <v>0</v>
      </c>
      <c r="E149" s="56"/>
      <c r="F149" s="76" t="e">
        <f t="shared" si="4"/>
        <v>#DIV/0!</v>
      </c>
      <c r="G149" s="76" t="e">
        <f t="shared" si="5"/>
        <v>#DIV/0!</v>
      </c>
      <c r="H149" s="76" t="e">
        <f t="shared" si="6"/>
        <v>#DIV/0!</v>
      </c>
      <c r="I149" s="77" t="e">
        <f t="shared" si="7"/>
        <v>#DIV/0!</v>
      </c>
      <c r="J149" s="53"/>
      <c r="K149" s="53"/>
    </row>
    <row r="150" spans="1:11" x14ac:dyDescent="0.25">
      <c r="A150" s="54">
        <f t="shared" si="8"/>
        <v>0</v>
      </c>
      <c r="B150" s="55" t="b">
        <f t="shared" si="1"/>
        <v>0</v>
      </c>
      <c r="C150" s="55" t="b">
        <f t="shared" si="2"/>
        <v>0</v>
      </c>
      <c r="D150" s="55" t="b">
        <f t="shared" si="3"/>
        <v>0</v>
      </c>
      <c r="E150" s="56"/>
      <c r="F150" s="76" t="e">
        <f t="shared" si="4"/>
        <v>#DIV/0!</v>
      </c>
      <c r="G150" s="76" t="e">
        <f t="shared" si="5"/>
        <v>#DIV/0!</v>
      </c>
      <c r="H150" s="76" t="e">
        <f t="shared" si="6"/>
        <v>#DIV/0!</v>
      </c>
      <c r="I150" s="77" t="e">
        <f t="shared" si="7"/>
        <v>#DIV/0!</v>
      </c>
      <c r="J150" s="53"/>
      <c r="K150" s="53"/>
    </row>
    <row r="151" spans="1:11" x14ac:dyDescent="0.25">
      <c r="A151" s="54">
        <f t="shared" si="8"/>
        <v>0</v>
      </c>
      <c r="B151" s="55" t="b">
        <f t="shared" si="1"/>
        <v>0</v>
      </c>
      <c r="C151" s="55" t="b">
        <f t="shared" si="2"/>
        <v>0</v>
      </c>
      <c r="D151" s="55" t="b">
        <f t="shared" si="3"/>
        <v>0</v>
      </c>
      <c r="E151" s="56"/>
      <c r="F151" s="76" t="e">
        <f t="shared" si="4"/>
        <v>#DIV/0!</v>
      </c>
      <c r="G151" s="76" t="e">
        <f t="shared" si="5"/>
        <v>#DIV/0!</v>
      </c>
      <c r="H151" s="76" t="e">
        <f t="shared" si="6"/>
        <v>#DIV/0!</v>
      </c>
      <c r="I151" s="77" t="e">
        <f t="shared" si="7"/>
        <v>#DIV/0!</v>
      </c>
      <c r="J151" s="53"/>
      <c r="K151" s="53"/>
    </row>
    <row r="152" spans="1:11" x14ac:dyDescent="0.25">
      <c r="A152" s="54">
        <f t="shared" si="8"/>
        <v>0</v>
      </c>
      <c r="B152" s="55" t="b">
        <f t="shared" si="1"/>
        <v>0</v>
      </c>
      <c r="C152" s="55" t="b">
        <f t="shared" si="2"/>
        <v>0</v>
      </c>
      <c r="D152" s="55" t="b">
        <f t="shared" si="3"/>
        <v>0</v>
      </c>
      <c r="E152" s="56"/>
      <c r="F152" s="76" t="e">
        <f t="shared" si="4"/>
        <v>#DIV/0!</v>
      </c>
      <c r="G152" s="76" t="e">
        <f t="shared" si="5"/>
        <v>#DIV/0!</v>
      </c>
      <c r="H152" s="76" t="e">
        <f t="shared" si="6"/>
        <v>#DIV/0!</v>
      </c>
      <c r="I152" s="77" t="e">
        <f t="shared" si="7"/>
        <v>#DIV/0!</v>
      </c>
      <c r="J152" s="53"/>
      <c r="K152" s="53"/>
    </row>
    <row r="153" spans="1:11" x14ac:dyDescent="0.25">
      <c r="A153" s="54">
        <f t="shared" si="8"/>
        <v>0</v>
      </c>
      <c r="B153" s="55" t="b">
        <f t="shared" si="1"/>
        <v>0</v>
      </c>
      <c r="C153" s="55" t="b">
        <f t="shared" si="2"/>
        <v>0</v>
      </c>
      <c r="D153" s="55" t="b">
        <f t="shared" si="3"/>
        <v>0</v>
      </c>
      <c r="E153" s="56"/>
      <c r="F153" s="76" t="e">
        <f t="shared" si="4"/>
        <v>#DIV/0!</v>
      </c>
      <c r="G153" s="76" t="e">
        <f t="shared" si="5"/>
        <v>#DIV/0!</v>
      </c>
      <c r="H153" s="76" t="e">
        <f t="shared" si="6"/>
        <v>#DIV/0!</v>
      </c>
      <c r="I153" s="77" t="e">
        <f t="shared" si="7"/>
        <v>#DIV/0!</v>
      </c>
      <c r="J153" s="53"/>
      <c r="K153" s="53"/>
    </row>
    <row r="154" spans="1:11" x14ac:dyDescent="0.25">
      <c r="A154" s="54">
        <f t="shared" si="8"/>
        <v>0</v>
      </c>
      <c r="B154" s="55" t="b">
        <f t="shared" si="1"/>
        <v>0</v>
      </c>
      <c r="C154" s="55" t="b">
        <f t="shared" si="2"/>
        <v>0</v>
      </c>
      <c r="D154" s="55" t="b">
        <f t="shared" si="3"/>
        <v>0</v>
      </c>
      <c r="E154" s="56"/>
      <c r="F154" s="76" t="e">
        <f t="shared" si="4"/>
        <v>#DIV/0!</v>
      </c>
      <c r="G154" s="76" t="e">
        <f t="shared" si="5"/>
        <v>#DIV/0!</v>
      </c>
      <c r="H154" s="76" t="e">
        <f t="shared" si="6"/>
        <v>#DIV/0!</v>
      </c>
      <c r="I154" s="77" t="e">
        <f t="shared" si="7"/>
        <v>#DIV/0!</v>
      </c>
      <c r="J154" s="53"/>
      <c r="K154" s="53"/>
    </row>
    <row r="155" spans="1:11" x14ac:dyDescent="0.25">
      <c r="A155" s="54">
        <f t="shared" si="8"/>
        <v>0</v>
      </c>
      <c r="B155" s="55" t="b">
        <f t="shared" si="1"/>
        <v>0</v>
      </c>
      <c r="C155" s="55" t="b">
        <f t="shared" si="2"/>
        <v>0</v>
      </c>
      <c r="D155" s="55" t="b">
        <f t="shared" si="3"/>
        <v>0</v>
      </c>
      <c r="E155" s="56"/>
      <c r="F155" s="76" t="e">
        <f t="shared" si="4"/>
        <v>#DIV/0!</v>
      </c>
      <c r="G155" s="76" t="e">
        <f t="shared" si="5"/>
        <v>#DIV/0!</v>
      </c>
      <c r="H155" s="76" t="e">
        <f t="shared" si="6"/>
        <v>#DIV/0!</v>
      </c>
      <c r="I155" s="77" t="e">
        <f t="shared" si="7"/>
        <v>#DIV/0!</v>
      </c>
      <c r="J155" s="53"/>
      <c r="K155" s="53"/>
    </row>
    <row r="156" spans="1:11" x14ac:dyDescent="0.25">
      <c r="A156" s="54">
        <f t="shared" si="8"/>
        <v>0</v>
      </c>
      <c r="B156" s="55" t="b">
        <f t="shared" si="1"/>
        <v>0</v>
      </c>
      <c r="C156" s="55" t="b">
        <f t="shared" si="2"/>
        <v>0</v>
      </c>
      <c r="D156" s="55" t="b">
        <f t="shared" si="3"/>
        <v>0</v>
      </c>
      <c r="E156" s="56"/>
      <c r="F156" s="76" t="e">
        <f t="shared" si="4"/>
        <v>#DIV/0!</v>
      </c>
      <c r="G156" s="76" t="e">
        <f t="shared" si="5"/>
        <v>#DIV/0!</v>
      </c>
      <c r="H156" s="76" t="e">
        <f t="shared" si="6"/>
        <v>#DIV/0!</v>
      </c>
      <c r="I156" s="77" t="e">
        <f t="shared" si="7"/>
        <v>#DIV/0!</v>
      </c>
      <c r="J156" s="53"/>
      <c r="K156" s="53"/>
    </row>
    <row r="157" spans="1:11" x14ac:dyDescent="0.25">
      <c r="A157" s="54">
        <f t="shared" si="8"/>
        <v>0</v>
      </c>
      <c r="B157" s="55" t="b">
        <f t="shared" si="1"/>
        <v>0</v>
      </c>
      <c r="C157" s="55" t="b">
        <f t="shared" si="2"/>
        <v>0</v>
      </c>
      <c r="D157" s="55" t="b">
        <f t="shared" si="3"/>
        <v>0</v>
      </c>
      <c r="E157" s="56"/>
      <c r="F157" s="76" t="e">
        <f t="shared" si="4"/>
        <v>#DIV/0!</v>
      </c>
      <c r="G157" s="76" t="e">
        <f t="shared" si="5"/>
        <v>#DIV/0!</v>
      </c>
      <c r="H157" s="76" t="e">
        <f t="shared" si="6"/>
        <v>#DIV/0!</v>
      </c>
      <c r="I157" s="77" t="e">
        <f t="shared" si="7"/>
        <v>#DIV/0!</v>
      </c>
      <c r="J157" s="53"/>
      <c r="K157" s="53"/>
    </row>
    <row r="158" spans="1:11" x14ac:dyDescent="0.25">
      <c r="A158" s="54">
        <f t="shared" si="8"/>
        <v>0</v>
      </c>
      <c r="B158" s="55" t="b">
        <f t="shared" si="1"/>
        <v>0</v>
      </c>
      <c r="C158" s="55" t="b">
        <f t="shared" si="2"/>
        <v>0</v>
      </c>
      <c r="D158" s="55" t="b">
        <f t="shared" si="3"/>
        <v>0</v>
      </c>
      <c r="E158" s="56"/>
      <c r="F158" s="76" t="e">
        <f t="shared" si="4"/>
        <v>#DIV/0!</v>
      </c>
      <c r="G158" s="76" t="e">
        <f t="shared" si="5"/>
        <v>#DIV/0!</v>
      </c>
      <c r="H158" s="76" t="e">
        <f t="shared" si="6"/>
        <v>#DIV/0!</v>
      </c>
      <c r="I158" s="77" t="e">
        <f t="shared" si="7"/>
        <v>#DIV/0!</v>
      </c>
      <c r="J158" s="53"/>
      <c r="K158" s="53"/>
    </row>
    <row r="159" spans="1:11" x14ac:dyDescent="0.25">
      <c r="A159" s="54">
        <f t="shared" si="8"/>
        <v>0</v>
      </c>
      <c r="B159" s="55" t="b">
        <f t="shared" si="1"/>
        <v>0</v>
      </c>
      <c r="C159" s="55" t="b">
        <f t="shared" si="2"/>
        <v>0</v>
      </c>
      <c r="D159" s="55" t="b">
        <f t="shared" si="3"/>
        <v>0</v>
      </c>
      <c r="E159" s="56"/>
      <c r="F159" s="76" t="e">
        <f t="shared" si="4"/>
        <v>#DIV/0!</v>
      </c>
      <c r="G159" s="76" t="e">
        <f t="shared" si="5"/>
        <v>#DIV/0!</v>
      </c>
      <c r="H159" s="76" t="e">
        <f t="shared" si="6"/>
        <v>#DIV/0!</v>
      </c>
      <c r="I159" s="77" t="e">
        <f t="shared" si="7"/>
        <v>#DIV/0!</v>
      </c>
      <c r="J159" s="53"/>
      <c r="K159" s="53"/>
    </row>
    <row r="160" spans="1:11" x14ac:dyDescent="0.25">
      <c r="A160" s="54">
        <f t="shared" si="8"/>
        <v>0</v>
      </c>
      <c r="B160" s="55" t="b">
        <f t="shared" si="1"/>
        <v>0</v>
      </c>
      <c r="C160" s="55" t="b">
        <f t="shared" si="2"/>
        <v>0</v>
      </c>
      <c r="D160" s="55" t="b">
        <f t="shared" si="3"/>
        <v>0</v>
      </c>
      <c r="E160" s="56"/>
      <c r="F160" s="76" t="e">
        <f t="shared" si="4"/>
        <v>#DIV/0!</v>
      </c>
      <c r="G160" s="76" t="e">
        <f t="shared" si="5"/>
        <v>#DIV/0!</v>
      </c>
      <c r="H160" s="76" t="e">
        <f t="shared" si="6"/>
        <v>#DIV/0!</v>
      </c>
      <c r="I160" s="77" t="e">
        <f t="shared" si="7"/>
        <v>#DIV/0!</v>
      </c>
      <c r="J160" s="53"/>
      <c r="K160" s="53"/>
    </row>
    <row r="161" spans="1:11" x14ac:dyDescent="0.25">
      <c r="A161" s="54">
        <f t="shared" si="8"/>
        <v>0</v>
      </c>
      <c r="B161" s="55" t="b">
        <f t="shared" si="1"/>
        <v>0</v>
      </c>
      <c r="C161" s="55" t="b">
        <f t="shared" si="2"/>
        <v>0</v>
      </c>
      <c r="D161" s="55" t="b">
        <f t="shared" si="3"/>
        <v>0</v>
      </c>
      <c r="E161" s="56"/>
      <c r="F161" s="76" t="e">
        <f t="shared" si="4"/>
        <v>#DIV/0!</v>
      </c>
      <c r="G161" s="76" t="e">
        <f t="shared" si="5"/>
        <v>#DIV/0!</v>
      </c>
      <c r="H161" s="76" t="e">
        <f t="shared" si="6"/>
        <v>#DIV/0!</v>
      </c>
      <c r="I161" s="77" t="e">
        <f t="shared" si="7"/>
        <v>#DIV/0!</v>
      </c>
      <c r="J161" s="53"/>
      <c r="K161" s="53"/>
    </row>
    <row r="162" spans="1:11" x14ac:dyDescent="0.25">
      <c r="A162" s="54">
        <f t="shared" si="8"/>
        <v>0</v>
      </c>
      <c r="B162" s="55" t="b">
        <f t="shared" si="1"/>
        <v>0</v>
      </c>
      <c r="C162" s="55" t="b">
        <f t="shared" si="2"/>
        <v>0</v>
      </c>
      <c r="D162" s="55" t="b">
        <f t="shared" si="3"/>
        <v>0</v>
      </c>
      <c r="E162" s="56"/>
      <c r="F162" s="76" t="e">
        <f t="shared" si="4"/>
        <v>#DIV/0!</v>
      </c>
      <c r="G162" s="76" t="e">
        <f t="shared" si="5"/>
        <v>#DIV/0!</v>
      </c>
      <c r="H162" s="76" t="e">
        <f t="shared" si="6"/>
        <v>#DIV/0!</v>
      </c>
      <c r="I162" s="77" t="e">
        <f t="shared" si="7"/>
        <v>#DIV/0!</v>
      </c>
      <c r="J162" s="53"/>
      <c r="K162" s="53"/>
    </row>
    <row r="163" spans="1:11" x14ac:dyDescent="0.25">
      <c r="A163" s="54">
        <f t="shared" si="8"/>
        <v>0</v>
      </c>
      <c r="B163" s="55" t="b">
        <f t="shared" si="1"/>
        <v>0</v>
      </c>
      <c r="C163" s="55" t="b">
        <f t="shared" si="2"/>
        <v>0</v>
      </c>
      <c r="D163" s="55" t="b">
        <f t="shared" si="3"/>
        <v>0</v>
      </c>
      <c r="E163" s="56"/>
      <c r="F163" s="76" t="e">
        <f t="shared" si="4"/>
        <v>#DIV/0!</v>
      </c>
      <c r="G163" s="76" t="e">
        <f t="shared" si="5"/>
        <v>#DIV/0!</v>
      </c>
      <c r="H163" s="76" t="e">
        <f t="shared" si="6"/>
        <v>#DIV/0!</v>
      </c>
      <c r="I163" s="77" t="e">
        <f t="shared" si="7"/>
        <v>#DIV/0!</v>
      </c>
      <c r="J163" s="53"/>
      <c r="K163" s="53"/>
    </row>
    <row r="164" spans="1:11" x14ac:dyDescent="0.25">
      <c r="A164" s="54">
        <f t="shared" si="8"/>
        <v>0</v>
      </c>
      <c r="B164" s="55" t="b">
        <f t="shared" si="1"/>
        <v>0</v>
      </c>
      <c r="C164" s="55" t="b">
        <f t="shared" si="2"/>
        <v>0</v>
      </c>
      <c r="D164" s="55" t="b">
        <f t="shared" si="3"/>
        <v>0</v>
      </c>
      <c r="E164" s="56"/>
      <c r="F164" s="76" t="e">
        <f t="shared" si="4"/>
        <v>#DIV/0!</v>
      </c>
      <c r="G164" s="76" t="e">
        <f t="shared" si="5"/>
        <v>#DIV/0!</v>
      </c>
      <c r="H164" s="76" t="e">
        <f t="shared" si="6"/>
        <v>#DIV/0!</v>
      </c>
      <c r="I164" s="77" t="e">
        <f t="shared" si="7"/>
        <v>#DIV/0!</v>
      </c>
      <c r="J164" s="53"/>
      <c r="K164" s="53"/>
    </row>
    <row r="165" spans="1:11" x14ac:dyDescent="0.25">
      <c r="A165" s="54">
        <f t="shared" si="8"/>
        <v>0</v>
      </c>
      <c r="B165" s="55" t="b">
        <f t="shared" si="1"/>
        <v>0</v>
      </c>
      <c r="C165" s="55" t="b">
        <f t="shared" si="2"/>
        <v>0</v>
      </c>
      <c r="D165" s="55" t="b">
        <f t="shared" si="3"/>
        <v>0</v>
      </c>
      <c r="E165" s="56"/>
      <c r="F165" s="76" t="e">
        <f t="shared" si="4"/>
        <v>#DIV/0!</v>
      </c>
      <c r="G165" s="76" t="e">
        <f t="shared" si="5"/>
        <v>#DIV/0!</v>
      </c>
      <c r="H165" s="76" t="e">
        <f t="shared" si="6"/>
        <v>#DIV/0!</v>
      </c>
      <c r="I165" s="77" t="e">
        <f t="shared" si="7"/>
        <v>#DIV/0!</v>
      </c>
      <c r="J165" s="53"/>
      <c r="K165" s="53"/>
    </row>
    <row r="166" spans="1:11" x14ac:dyDescent="0.25">
      <c r="A166" s="54">
        <f t="shared" si="8"/>
        <v>0</v>
      </c>
      <c r="B166" s="55" t="b">
        <f t="shared" si="1"/>
        <v>0</v>
      </c>
      <c r="C166" s="55" t="b">
        <f t="shared" si="2"/>
        <v>0</v>
      </c>
      <c r="D166" s="55" t="b">
        <f t="shared" si="3"/>
        <v>0</v>
      </c>
      <c r="E166" s="56"/>
      <c r="F166" s="76" t="e">
        <f t="shared" si="4"/>
        <v>#DIV/0!</v>
      </c>
      <c r="G166" s="76" t="e">
        <f t="shared" si="5"/>
        <v>#DIV/0!</v>
      </c>
      <c r="H166" s="76" t="e">
        <f t="shared" si="6"/>
        <v>#DIV/0!</v>
      </c>
      <c r="I166" s="77" t="e">
        <f t="shared" si="7"/>
        <v>#DIV/0!</v>
      </c>
      <c r="J166" s="53"/>
      <c r="K166" s="53"/>
    </row>
    <row r="167" spans="1:11" x14ac:dyDescent="0.25">
      <c r="A167" s="54">
        <f t="shared" si="8"/>
        <v>0</v>
      </c>
      <c r="B167" s="55" t="b">
        <f t="shared" si="1"/>
        <v>0</v>
      </c>
      <c r="C167" s="55" t="b">
        <f t="shared" si="2"/>
        <v>0</v>
      </c>
      <c r="D167" s="55" t="b">
        <f t="shared" si="3"/>
        <v>0</v>
      </c>
      <c r="E167" s="56"/>
      <c r="F167" s="76" t="e">
        <f t="shared" si="4"/>
        <v>#DIV/0!</v>
      </c>
      <c r="G167" s="76" t="e">
        <f t="shared" si="5"/>
        <v>#DIV/0!</v>
      </c>
      <c r="H167" s="76" t="e">
        <f t="shared" si="6"/>
        <v>#DIV/0!</v>
      </c>
      <c r="I167" s="77" t="e">
        <f t="shared" si="7"/>
        <v>#DIV/0!</v>
      </c>
      <c r="J167" s="53"/>
      <c r="K167" s="53"/>
    </row>
    <row r="168" spans="1:11" x14ac:dyDescent="0.25">
      <c r="A168" s="54">
        <f t="shared" si="8"/>
        <v>0</v>
      </c>
      <c r="B168" s="55" t="b">
        <f t="shared" si="1"/>
        <v>0</v>
      </c>
      <c r="C168" s="55" t="b">
        <f t="shared" si="2"/>
        <v>0</v>
      </c>
      <c r="D168" s="55" t="b">
        <f t="shared" si="3"/>
        <v>0</v>
      </c>
      <c r="E168" s="56"/>
      <c r="F168" s="76" t="e">
        <f t="shared" si="4"/>
        <v>#DIV/0!</v>
      </c>
      <c r="G168" s="76" t="e">
        <f t="shared" si="5"/>
        <v>#DIV/0!</v>
      </c>
      <c r="H168" s="76" t="e">
        <f t="shared" si="6"/>
        <v>#DIV/0!</v>
      </c>
      <c r="I168" s="77" t="e">
        <f t="shared" si="7"/>
        <v>#DIV/0!</v>
      </c>
      <c r="J168" s="53"/>
      <c r="K168" s="53"/>
    </row>
    <row r="169" spans="1:11" x14ac:dyDescent="0.25">
      <c r="A169" s="54">
        <f t="shared" si="8"/>
        <v>0</v>
      </c>
      <c r="B169" s="55" t="b">
        <f t="shared" si="1"/>
        <v>0</v>
      </c>
      <c r="C169" s="55" t="b">
        <f t="shared" si="2"/>
        <v>0</v>
      </c>
      <c r="D169" s="55" t="b">
        <f t="shared" si="3"/>
        <v>0</v>
      </c>
      <c r="E169" s="56"/>
      <c r="F169" s="76" t="e">
        <f t="shared" si="4"/>
        <v>#DIV/0!</v>
      </c>
      <c r="G169" s="76" t="e">
        <f t="shared" si="5"/>
        <v>#DIV/0!</v>
      </c>
      <c r="H169" s="76" t="e">
        <f t="shared" si="6"/>
        <v>#DIV/0!</v>
      </c>
      <c r="I169" s="77" t="e">
        <f t="shared" si="7"/>
        <v>#DIV/0!</v>
      </c>
      <c r="J169" s="53"/>
      <c r="K169" s="53"/>
    </row>
    <row r="170" spans="1:11" x14ac:dyDescent="0.25">
      <c r="A170" s="54">
        <f t="shared" ref="A170:A201" si="9">IF(A68&gt;0,A169+1,0)</f>
        <v>0</v>
      </c>
      <c r="B170" s="55" t="b">
        <f t="shared" ref="B170:B204" si="10">IF(SQRT((K68-M68)^2+(L68-N68)^2)&gt;0,SQRT((I68-K68)^2+(J68-L68)^2)/SQRT((K68-M68)^2+(L68-N68)^2),FALSE)</f>
        <v>0</v>
      </c>
      <c r="C170" s="55" t="b">
        <f t="shared" ref="C170:C204" si="11">IF(A68&gt;0,IF($Q$1="TPSDig",-ATAN((H170-I170)/(1+I170*H170)),ATAN((H170-I170)/(1+I170*H170)))*180/PI(),FALSE)</f>
        <v>0</v>
      </c>
      <c r="D170" s="55" t="b">
        <f t="shared" ref="D170:D204" si="12">IF(SQRT((E68-G68)^2+(F68-H68)^2)&gt;0,SQRT((I68-M68)^2+(J68-N68)^2)/SQRT((E68-G68)^2+(F68-H68)^2),FALSE)</f>
        <v>0</v>
      </c>
      <c r="E170" s="56"/>
      <c r="F170" s="76" t="e">
        <f t="shared" ref="F170:F204" si="13">(POWER(D68,2)*A68-B68*D68*A68-D68*A68*F68-D68*B68*C68+D68*C68*F68-B68*C68*F68+POWER(B68,2)*C68+E68*POWER(C68,2)+POWER(A68,2)*E68-2*C68*E68*A68+A68*F68*B68)/(POWER(C68,2)-2*A68*C68+POWER(A68,2)+POWER(D68,2)-2*D68*B68+POWER(B68,2))</f>
        <v>#DIV/0!</v>
      </c>
      <c r="G170" s="76" t="e">
        <f t="shared" ref="G170:G204" si="14">(-C68*D68*A68+B68*POWER(C68,2)+D68*POWER(A68,2)-A68*B68*C68+POWER(D68,2)*F68-2*D68*F68*B68+POWER(B68,2)*F68+E68*C68*D68-E68*B68*C68-E68*D68*A68+A68*E68*B68)/(POWER(C68,2)-2*A68*C68+POWER(A68,2)+POWER(D68,2)-2*D68*B68+POWER(B68,2))</f>
        <v>#DIV/0!</v>
      </c>
      <c r="H170" s="76" t="e">
        <f t="shared" ref="H170:H204" si="15">(G170-F68)/(F170-E68)</f>
        <v>#DIV/0!</v>
      </c>
      <c r="I170" s="77" t="e">
        <f t="shared" ref="I170:I204" si="16">(G170-P68)/(F170-O68)</f>
        <v>#DIV/0!</v>
      </c>
      <c r="J170" s="53"/>
      <c r="K170" s="53"/>
    </row>
    <row r="171" spans="1:11" x14ac:dyDescent="0.25">
      <c r="A171" s="54">
        <f t="shared" si="9"/>
        <v>0</v>
      </c>
      <c r="B171" s="55" t="b">
        <f t="shared" si="10"/>
        <v>0</v>
      </c>
      <c r="C171" s="55" t="b">
        <f t="shared" si="11"/>
        <v>0</v>
      </c>
      <c r="D171" s="55" t="b">
        <f t="shared" si="12"/>
        <v>0</v>
      </c>
      <c r="E171" s="56"/>
      <c r="F171" s="76" t="e">
        <f t="shared" si="13"/>
        <v>#DIV/0!</v>
      </c>
      <c r="G171" s="76" t="e">
        <f t="shared" si="14"/>
        <v>#DIV/0!</v>
      </c>
      <c r="H171" s="76" t="e">
        <f t="shared" si="15"/>
        <v>#DIV/0!</v>
      </c>
      <c r="I171" s="77" t="e">
        <f t="shared" si="16"/>
        <v>#DIV/0!</v>
      </c>
      <c r="J171" s="53"/>
      <c r="K171" s="53"/>
    </row>
    <row r="172" spans="1:11" x14ac:dyDescent="0.25">
      <c r="A172" s="54">
        <f t="shared" si="9"/>
        <v>0</v>
      </c>
      <c r="B172" s="55" t="b">
        <f t="shared" si="10"/>
        <v>0</v>
      </c>
      <c r="C172" s="55" t="b">
        <f t="shared" si="11"/>
        <v>0</v>
      </c>
      <c r="D172" s="55" t="b">
        <f t="shared" si="12"/>
        <v>0</v>
      </c>
      <c r="E172" s="56"/>
      <c r="F172" s="76" t="e">
        <f t="shared" si="13"/>
        <v>#DIV/0!</v>
      </c>
      <c r="G172" s="76" t="e">
        <f t="shared" si="14"/>
        <v>#DIV/0!</v>
      </c>
      <c r="H172" s="76" t="e">
        <f t="shared" si="15"/>
        <v>#DIV/0!</v>
      </c>
      <c r="I172" s="77" t="e">
        <f t="shared" si="16"/>
        <v>#DIV/0!</v>
      </c>
      <c r="J172" s="53"/>
      <c r="K172" s="53"/>
    </row>
    <row r="173" spans="1:11" x14ac:dyDescent="0.25">
      <c r="A173" s="54">
        <f t="shared" si="9"/>
        <v>0</v>
      </c>
      <c r="B173" s="55" t="b">
        <f t="shared" si="10"/>
        <v>0</v>
      </c>
      <c r="C173" s="55" t="b">
        <f t="shared" si="11"/>
        <v>0</v>
      </c>
      <c r="D173" s="55" t="b">
        <f t="shared" si="12"/>
        <v>0</v>
      </c>
      <c r="E173" s="56"/>
      <c r="F173" s="76" t="e">
        <f t="shared" si="13"/>
        <v>#DIV/0!</v>
      </c>
      <c r="G173" s="76" t="e">
        <f t="shared" si="14"/>
        <v>#DIV/0!</v>
      </c>
      <c r="H173" s="76" t="e">
        <f t="shared" si="15"/>
        <v>#DIV/0!</v>
      </c>
      <c r="I173" s="77" t="e">
        <f t="shared" si="16"/>
        <v>#DIV/0!</v>
      </c>
      <c r="J173" s="53"/>
      <c r="K173" s="53"/>
    </row>
    <row r="174" spans="1:11" x14ac:dyDescent="0.25">
      <c r="A174" s="54">
        <f t="shared" si="9"/>
        <v>0</v>
      </c>
      <c r="B174" s="55" t="b">
        <f t="shared" si="10"/>
        <v>0</v>
      </c>
      <c r="C174" s="55" t="b">
        <f t="shared" si="11"/>
        <v>0</v>
      </c>
      <c r="D174" s="55" t="b">
        <f t="shared" si="12"/>
        <v>0</v>
      </c>
      <c r="E174" s="56"/>
      <c r="F174" s="76" t="e">
        <f t="shared" si="13"/>
        <v>#DIV/0!</v>
      </c>
      <c r="G174" s="76" t="e">
        <f t="shared" si="14"/>
        <v>#DIV/0!</v>
      </c>
      <c r="H174" s="76" t="e">
        <f t="shared" si="15"/>
        <v>#DIV/0!</v>
      </c>
      <c r="I174" s="77" t="e">
        <f t="shared" si="16"/>
        <v>#DIV/0!</v>
      </c>
      <c r="J174" s="53"/>
      <c r="K174" s="53"/>
    </row>
    <row r="175" spans="1:11" x14ac:dyDescent="0.25">
      <c r="A175" s="54">
        <f t="shared" si="9"/>
        <v>0</v>
      </c>
      <c r="B175" s="55" t="b">
        <f t="shared" si="10"/>
        <v>0</v>
      </c>
      <c r="C175" s="55" t="b">
        <f t="shared" si="11"/>
        <v>0</v>
      </c>
      <c r="D175" s="55" t="b">
        <f t="shared" si="12"/>
        <v>0</v>
      </c>
      <c r="E175" s="56"/>
      <c r="F175" s="76" t="e">
        <f t="shared" si="13"/>
        <v>#DIV/0!</v>
      </c>
      <c r="G175" s="76" t="e">
        <f t="shared" si="14"/>
        <v>#DIV/0!</v>
      </c>
      <c r="H175" s="76" t="e">
        <f t="shared" si="15"/>
        <v>#DIV/0!</v>
      </c>
      <c r="I175" s="77" t="e">
        <f t="shared" si="16"/>
        <v>#DIV/0!</v>
      </c>
      <c r="J175" s="53"/>
      <c r="K175" s="53"/>
    </row>
    <row r="176" spans="1:11" x14ac:dyDescent="0.25">
      <c r="A176" s="54">
        <f t="shared" si="9"/>
        <v>0</v>
      </c>
      <c r="B176" s="55" t="b">
        <f t="shared" si="10"/>
        <v>0</v>
      </c>
      <c r="C176" s="55" t="b">
        <f t="shared" si="11"/>
        <v>0</v>
      </c>
      <c r="D176" s="55" t="b">
        <f t="shared" si="12"/>
        <v>0</v>
      </c>
      <c r="E176" s="56"/>
      <c r="F176" s="76" t="e">
        <f t="shared" si="13"/>
        <v>#DIV/0!</v>
      </c>
      <c r="G176" s="76" t="e">
        <f t="shared" si="14"/>
        <v>#DIV/0!</v>
      </c>
      <c r="H176" s="76" t="e">
        <f t="shared" si="15"/>
        <v>#DIV/0!</v>
      </c>
      <c r="I176" s="77" t="e">
        <f t="shared" si="16"/>
        <v>#DIV/0!</v>
      </c>
      <c r="J176" s="53"/>
      <c r="K176" s="53"/>
    </row>
    <row r="177" spans="1:11" x14ac:dyDescent="0.25">
      <c r="A177" s="54">
        <f t="shared" si="9"/>
        <v>0</v>
      </c>
      <c r="B177" s="55" t="b">
        <f t="shared" si="10"/>
        <v>0</v>
      </c>
      <c r="C177" s="55" t="b">
        <f t="shared" si="11"/>
        <v>0</v>
      </c>
      <c r="D177" s="55" t="b">
        <f t="shared" si="12"/>
        <v>0</v>
      </c>
      <c r="E177" s="56"/>
      <c r="F177" s="76" t="e">
        <f t="shared" si="13"/>
        <v>#DIV/0!</v>
      </c>
      <c r="G177" s="76" t="e">
        <f t="shared" si="14"/>
        <v>#DIV/0!</v>
      </c>
      <c r="H177" s="76" t="e">
        <f t="shared" si="15"/>
        <v>#DIV/0!</v>
      </c>
      <c r="I177" s="77" t="e">
        <f t="shared" si="16"/>
        <v>#DIV/0!</v>
      </c>
      <c r="J177" s="53"/>
      <c r="K177" s="53"/>
    </row>
    <row r="178" spans="1:11" x14ac:dyDescent="0.25">
      <c r="A178" s="54">
        <f t="shared" si="9"/>
        <v>0</v>
      </c>
      <c r="B178" s="55" t="b">
        <f t="shared" si="10"/>
        <v>0</v>
      </c>
      <c r="C178" s="55" t="b">
        <f t="shared" si="11"/>
        <v>0</v>
      </c>
      <c r="D178" s="55" t="b">
        <f t="shared" si="12"/>
        <v>0</v>
      </c>
      <c r="E178" s="56"/>
      <c r="F178" s="76" t="e">
        <f t="shared" si="13"/>
        <v>#DIV/0!</v>
      </c>
      <c r="G178" s="76" t="e">
        <f t="shared" si="14"/>
        <v>#DIV/0!</v>
      </c>
      <c r="H178" s="76" t="e">
        <f t="shared" si="15"/>
        <v>#DIV/0!</v>
      </c>
      <c r="I178" s="77" t="e">
        <f t="shared" si="16"/>
        <v>#DIV/0!</v>
      </c>
      <c r="J178" s="53"/>
      <c r="K178" s="53"/>
    </row>
    <row r="179" spans="1:11" x14ac:dyDescent="0.25">
      <c r="A179" s="54">
        <f t="shared" si="9"/>
        <v>0</v>
      </c>
      <c r="B179" s="55" t="b">
        <f t="shared" si="10"/>
        <v>0</v>
      </c>
      <c r="C179" s="55" t="b">
        <f t="shared" si="11"/>
        <v>0</v>
      </c>
      <c r="D179" s="55" t="b">
        <f t="shared" si="12"/>
        <v>0</v>
      </c>
      <c r="E179" s="56"/>
      <c r="F179" s="76" t="e">
        <f t="shared" si="13"/>
        <v>#DIV/0!</v>
      </c>
      <c r="G179" s="76" t="e">
        <f t="shared" si="14"/>
        <v>#DIV/0!</v>
      </c>
      <c r="H179" s="76" t="e">
        <f t="shared" si="15"/>
        <v>#DIV/0!</v>
      </c>
      <c r="I179" s="77" t="e">
        <f t="shared" si="16"/>
        <v>#DIV/0!</v>
      </c>
      <c r="J179" s="53"/>
      <c r="K179" s="53"/>
    </row>
    <row r="180" spans="1:11" x14ac:dyDescent="0.25">
      <c r="A180" s="54">
        <f t="shared" si="9"/>
        <v>0</v>
      </c>
      <c r="B180" s="55" t="b">
        <f t="shared" si="10"/>
        <v>0</v>
      </c>
      <c r="C180" s="55" t="b">
        <f t="shared" si="11"/>
        <v>0</v>
      </c>
      <c r="D180" s="55" t="b">
        <f t="shared" si="12"/>
        <v>0</v>
      </c>
      <c r="E180" s="56"/>
      <c r="F180" s="76" t="e">
        <f t="shared" si="13"/>
        <v>#DIV/0!</v>
      </c>
      <c r="G180" s="76" t="e">
        <f t="shared" si="14"/>
        <v>#DIV/0!</v>
      </c>
      <c r="H180" s="76" t="e">
        <f t="shared" si="15"/>
        <v>#DIV/0!</v>
      </c>
      <c r="I180" s="77" t="e">
        <f t="shared" si="16"/>
        <v>#DIV/0!</v>
      </c>
      <c r="J180" s="53"/>
      <c r="K180" s="53"/>
    </row>
    <row r="181" spans="1:11" x14ac:dyDescent="0.25">
      <c r="A181" s="54">
        <f t="shared" si="9"/>
        <v>0</v>
      </c>
      <c r="B181" s="55" t="b">
        <f t="shared" si="10"/>
        <v>0</v>
      </c>
      <c r="C181" s="55" t="b">
        <f t="shared" si="11"/>
        <v>0</v>
      </c>
      <c r="D181" s="55" t="b">
        <f t="shared" si="12"/>
        <v>0</v>
      </c>
      <c r="E181" s="56"/>
      <c r="F181" s="76" t="e">
        <f t="shared" si="13"/>
        <v>#DIV/0!</v>
      </c>
      <c r="G181" s="76" t="e">
        <f t="shared" si="14"/>
        <v>#DIV/0!</v>
      </c>
      <c r="H181" s="76" t="e">
        <f t="shared" si="15"/>
        <v>#DIV/0!</v>
      </c>
      <c r="I181" s="77" t="e">
        <f t="shared" si="16"/>
        <v>#DIV/0!</v>
      </c>
      <c r="J181" s="53"/>
      <c r="K181" s="53"/>
    </row>
    <row r="182" spans="1:11" x14ac:dyDescent="0.25">
      <c r="A182" s="54">
        <f t="shared" si="9"/>
        <v>0</v>
      </c>
      <c r="B182" s="55" t="b">
        <f t="shared" si="10"/>
        <v>0</v>
      </c>
      <c r="C182" s="55" t="b">
        <f t="shared" si="11"/>
        <v>0</v>
      </c>
      <c r="D182" s="55" t="b">
        <f t="shared" si="12"/>
        <v>0</v>
      </c>
      <c r="E182" s="56"/>
      <c r="F182" s="76" t="e">
        <f t="shared" si="13"/>
        <v>#DIV/0!</v>
      </c>
      <c r="G182" s="76" t="e">
        <f t="shared" si="14"/>
        <v>#DIV/0!</v>
      </c>
      <c r="H182" s="76" t="e">
        <f t="shared" si="15"/>
        <v>#DIV/0!</v>
      </c>
      <c r="I182" s="77" t="e">
        <f t="shared" si="16"/>
        <v>#DIV/0!</v>
      </c>
      <c r="J182" s="53"/>
      <c r="K182" s="53"/>
    </row>
    <row r="183" spans="1:11" x14ac:dyDescent="0.25">
      <c r="A183" s="54">
        <f t="shared" si="9"/>
        <v>0</v>
      </c>
      <c r="B183" s="55" t="b">
        <f t="shared" si="10"/>
        <v>0</v>
      </c>
      <c r="C183" s="55" t="b">
        <f t="shared" si="11"/>
        <v>0</v>
      </c>
      <c r="D183" s="55" t="b">
        <f t="shared" si="12"/>
        <v>0</v>
      </c>
      <c r="E183" s="56"/>
      <c r="F183" s="76" t="e">
        <f t="shared" si="13"/>
        <v>#DIV/0!</v>
      </c>
      <c r="G183" s="76" t="e">
        <f t="shared" si="14"/>
        <v>#DIV/0!</v>
      </c>
      <c r="H183" s="76" t="e">
        <f t="shared" si="15"/>
        <v>#DIV/0!</v>
      </c>
      <c r="I183" s="77" t="e">
        <f t="shared" si="16"/>
        <v>#DIV/0!</v>
      </c>
      <c r="J183" s="53"/>
      <c r="K183" s="53"/>
    </row>
    <row r="184" spans="1:11" x14ac:dyDescent="0.25">
      <c r="A184" s="54">
        <f t="shared" si="9"/>
        <v>0</v>
      </c>
      <c r="B184" s="55" t="b">
        <f t="shared" si="10"/>
        <v>0</v>
      </c>
      <c r="C184" s="55" t="b">
        <f t="shared" si="11"/>
        <v>0</v>
      </c>
      <c r="D184" s="55" t="b">
        <f t="shared" si="12"/>
        <v>0</v>
      </c>
      <c r="E184" s="56"/>
      <c r="F184" s="76" t="e">
        <f t="shared" si="13"/>
        <v>#DIV/0!</v>
      </c>
      <c r="G184" s="76" t="e">
        <f t="shared" si="14"/>
        <v>#DIV/0!</v>
      </c>
      <c r="H184" s="76" t="e">
        <f t="shared" si="15"/>
        <v>#DIV/0!</v>
      </c>
      <c r="I184" s="77" t="e">
        <f t="shared" si="16"/>
        <v>#DIV/0!</v>
      </c>
      <c r="J184" s="53"/>
      <c r="K184" s="53"/>
    </row>
    <row r="185" spans="1:11" x14ac:dyDescent="0.25">
      <c r="A185" s="54">
        <f t="shared" si="9"/>
        <v>0</v>
      </c>
      <c r="B185" s="55" t="b">
        <f t="shared" si="10"/>
        <v>0</v>
      </c>
      <c r="C185" s="55" t="b">
        <f t="shared" si="11"/>
        <v>0</v>
      </c>
      <c r="D185" s="55" t="b">
        <f t="shared" si="12"/>
        <v>0</v>
      </c>
      <c r="E185" s="56"/>
      <c r="F185" s="76" t="e">
        <f t="shared" si="13"/>
        <v>#DIV/0!</v>
      </c>
      <c r="G185" s="76" t="e">
        <f t="shared" si="14"/>
        <v>#DIV/0!</v>
      </c>
      <c r="H185" s="76" t="e">
        <f t="shared" si="15"/>
        <v>#DIV/0!</v>
      </c>
      <c r="I185" s="77" t="e">
        <f t="shared" si="16"/>
        <v>#DIV/0!</v>
      </c>
      <c r="J185" s="53"/>
      <c r="K185" s="53"/>
    </row>
    <row r="186" spans="1:11" x14ac:dyDescent="0.25">
      <c r="A186" s="54">
        <f t="shared" si="9"/>
        <v>0</v>
      </c>
      <c r="B186" s="55" t="b">
        <f t="shared" si="10"/>
        <v>0</v>
      </c>
      <c r="C186" s="55" t="b">
        <f t="shared" si="11"/>
        <v>0</v>
      </c>
      <c r="D186" s="55" t="b">
        <f t="shared" si="12"/>
        <v>0</v>
      </c>
      <c r="E186" s="56"/>
      <c r="F186" s="76" t="e">
        <f t="shared" si="13"/>
        <v>#DIV/0!</v>
      </c>
      <c r="G186" s="76" t="e">
        <f t="shared" si="14"/>
        <v>#DIV/0!</v>
      </c>
      <c r="H186" s="76" t="e">
        <f t="shared" si="15"/>
        <v>#DIV/0!</v>
      </c>
      <c r="I186" s="77" t="e">
        <f t="shared" si="16"/>
        <v>#DIV/0!</v>
      </c>
      <c r="J186" s="53"/>
      <c r="K186" s="53"/>
    </row>
    <row r="187" spans="1:11" x14ac:dyDescent="0.25">
      <c r="A187" s="54">
        <f t="shared" si="9"/>
        <v>0</v>
      </c>
      <c r="B187" s="55" t="b">
        <f t="shared" si="10"/>
        <v>0</v>
      </c>
      <c r="C187" s="55" t="b">
        <f t="shared" si="11"/>
        <v>0</v>
      </c>
      <c r="D187" s="55" t="b">
        <f t="shared" si="12"/>
        <v>0</v>
      </c>
      <c r="E187" s="56"/>
      <c r="F187" s="76" t="e">
        <f t="shared" si="13"/>
        <v>#DIV/0!</v>
      </c>
      <c r="G187" s="76" t="e">
        <f t="shared" si="14"/>
        <v>#DIV/0!</v>
      </c>
      <c r="H187" s="76" t="e">
        <f t="shared" si="15"/>
        <v>#DIV/0!</v>
      </c>
      <c r="I187" s="77" t="e">
        <f t="shared" si="16"/>
        <v>#DIV/0!</v>
      </c>
      <c r="J187" s="53"/>
      <c r="K187" s="53"/>
    </row>
    <row r="188" spans="1:11" x14ac:dyDescent="0.25">
      <c r="A188" s="54">
        <f t="shared" si="9"/>
        <v>0</v>
      </c>
      <c r="B188" s="55" t="b">
        <f t="shared" si="10"/>
        <v>0</v>
      </c>
      <c r="C188" s="55" t="b">
        <f t="shared" si="11"/>
        <v>0</v>
      </c>
      <c r="D188" s="55" t="b">
        <f t="shared" si="12"/>
        <v>0</v>
      </c>
      <c r="E188" s="56"/>
      <c r="F188" s="76" t="e">
        <f t="shared" si="13"/>
        <v>#DIV/0!</v>
      </c>
      <c r="G188" s="76" t="e">
        <f t="shared" si="14"/>
        <v>#DIV/0!</v>
      </c>
      <c r="H188" s="76" t="e">
        <f t="shared" si="15"/>
        <v>#DIV/0!</v>
      </c>
      <c r="I188" s="77" t="e">
        <f t="shared" si="16"/>
        <v>#DIV/0!</v>
      </c>
      <c r="J188" s="53"/>
      <c r="K188" s="53"/>
    </row>
    <row r="189" spans="1:11" x14ac:dyDescent="0.25">
      <c r="A189" s="54">
        <f t="shared" si="9"/>
        <v>0</v>
      </c>
      <c r="B189" s="55" t="b">
        <f t="shared" si="10"/>
        <v>0</v>
      </c>
      <c r="C189" s="55" t="b">
        <f t="shared" si="11"/>
        <v>0</v>
      </c>
      <c r="D189" s="55" t="b">
        <f t="shared" si="12"/>
        <v>0</v>
      </c>
      <c r="E189" s="56"/>
      <c r="F189" s="76" t="e">
        <f t="shared" si="13"/>
        <v>#DIV/0!</v>
      </c>
      <c r="G189" s="76" t="e">
        <f t="shared" si="14"/>
        <v>#DIV/0!</v>
      </c>
      <c r="H189" s="76" t="e">
        <f t="shared" si="15"/>
        <v>#DIV/0!</v>
      </c>
      <c r="I189" s="77" t="e">
        <f t="shared" si="16"/>
        <v>#DIV/0!</v>
      </c>
      <c r="J189" s="53"/>
      <c r="K189" s="53"/>
    </row>
    <row r="190" spans="1:11" x14ac:dyDescent="0.25">
      <c r="A190" s="54">
        <f t="shared" si="9"/>
        <v>0</v>
      </c>
      <c r="B190" s="55" t="b">
        <f t="shared" si="10"/>
        <v>0</v>
      </c>
      <c r="C190" s="55" t="b">
        <f t="shared" si="11"/>
        <v>0</v>
      </c>
      <c r="D190" s="55" t="b">
        <f t="shared" si="12"/>
        <v>0</v>
      </c>
      <c r="E190" s="56"/>
      <c r="F190" s="76" t="e">
        <f t="shared" si="13"/>
        <v>#DIV/0!</v>
      </c>
      <c r="G190" s="76" t="e">
        <f t="shared" si="14"/>
        <v>#DIV/0!</v>
      </c>
      <c r="H190" s="76" t="e">
        <f t="shared" si="15"/>
        <v>#DIV/0!</v>
      </c>
      <c r="I190" s="77" t="e">
        <f t="shared" si="16"/>
        <v>#DIV/0!</v>
      </c>
      <c r="J190" s="53"/>
      <c r="K190" s="53"/>
    </row>
    <row r="191" spans="1:11" x14ac:dyDescent="0.25">
      <c r="A191" s="54">
        <f t="shared" si="9"/>
        <v>0</v>
      </c>
      <c r="B191" s="55" t="b">
        <f t="shared" si="10"/>
        <v>0</v>
      </c>
      <c r="C191" s="55" t="b">
        <f t="shared" si="11"/>
        <v>0</v>
      </c>
      <c r="D191" s="55" t="b">
        <f t="shared" si="12"/>
        <v>0</v>
      </c>
      <c r="E191" s="56"/>
      <c r="F191" s="76" t="e">
        <f t="shared" si="13"/>
        <v>#DIV/0!</v>
      </c>
      <c r="G191" s="76" t="e">
        <f t="shared" si="14"/>
        <v>#DIV/0!</v>
      </c>
      <c r="H191" s="76" t="e">
        <f t="shared" si="15"/>
        <v>#DIV/0!</v>
      </c>
      <c r="I191" s="77" t="e">
        <f t="shared" si="16"/>
        <v>#DIV/0!</v>
      </c>
      <c r="J191" s="53"/>
      <c r="K191" s="53"/>
    </row>
    <row r="192" spans="1:11" x14ac:dyDescent="0.25">
      <c r="A192" s="54">
        <f t="shared" si="9"/>
        <v>0</v>
      </c>
      <c r="B192" s="55" t="b">
        <f t="shared" si="10"/>
        <v>0</v>
      </c>
      <c r="C192" s="55" t="b">
        <f t="shared" si="11"/>
        <v>0</v>
      </c>
      <c r="D192" s="55" t="b">
        <f t="shared" si="12"/>
        <v>0</v>
      </c>
      <c r="E192" s="56"/>
      <c r="F192" s="76" t="e">
        <f t="shared" si="13"/>
        <v>#DIV/0!</v>
      </c>
      <c r="G192" s="76" t="e">
        <f t="shared" si="14"/>
        <v>#DIV/0!</v>
      </c>
      <c r="H192" s="76" t="e">
        <f t="shared" si="15"/>
        <v>#DIV/0!</v>
      </c>
      <c r="I192" s="77" t="e">
        <f t="shared" si="16"/>
        <v>#DIV/0!</v>
      </c>
      <c r="J192" s="53"/>
      <c r="K192" s="53"/>
    </row>
    <row r="193" spans="1:11" x14ac:dyDescent="0.25">
      <c r="A193" s="54">
        <f t="shared" si="9"/>
        <v>0</v>
      </c>
      <c r="B193" s="55" t="b">
        <f t="shared" si="10"/>
        <v>0</v>
      </c>
      <c r="C193" s="55" t="b">
        <f t="shared" si="11"/>
        <v>0</v>
      </c>
      <c r="D193" s="55" t="b">
        <f t="shared" si="12"/>
        <v>0</v>
      </c>
      <c r="E193" s="56"/>
      <c r="F193" s="76" t="e">
        <f t="shared" si="13"/>
        <v>#DIV/0!</v>
      </c>
      <c r="G193" s="76" t="e">
        <f t="shared" si="14"/>
        <v>#DIV/0!</v>
      </c>
      <c r="H193" s="76" t="e">
        <f t="shared" si="15"/>
        <v>#DIV/0!</v>
      </c>
      <c r="I193" s="77" t="e">
        <f t="shared" si="16"/>
        <v>#DIV/0!</v>
      </c>
      <c r="J193" s="53"/>
      <c r="K193" s="53"/>
    </row>
    <row r="194" spans="1:11" x14ac:dyDescent="0.25">
      <c r="A194" s="54">
        <f t="shared" si="9"/>
        <v>0</v>
      </c>
      <c r="B194" s="55" t="b">
        <f t="shared" si="10"/>
        <v>0</v>
      </c>
      <c r="C194" s="55" t="b">
        <f t="shared" si="11"/>
        <v>0</v>
      </c>
      <c r="D194" s="55" t="b">
        <f t="shared" si="12"/>
        <v>0</v>
      </c>
      <c r="E194" s="56"/>
      <c r="F194" s="76" t="e">
        <f t="shared" si="13"/>
        <v>#DIV/0!</v>
      </c>
      <c r="G194" s="76" t="e">
        <f t="shared" si="14"/>
        <v>#DIV/0!</v>
      </c>
      <c r="H194" s="76" t="e">
        <f t="shared" si="15"/>
        <v>#DIV/0!</v>
      </c>
      <c r="I194" s="77" t="e">
        <f t="shared" si="16"/>
        <v>#DIV/0!</v>
      </c>
      <c r="J194" s="53"/>
      <c r="K194" s="53"/>
    </row>
    <row r="195" spans="1:11" x14ac:dyDescent="0.25">
      <c r="A195" s="54">
        <f t="shared" si="9"/>
        <v>0</v>
      </c>
      <c r="B195" s="55" t="b">
        <f t="shared" si="10"/>
        <v>0</v>
      </c>
      <c r="C195" s="55" t="b">
        <f t="shared" si="11"/>
        <v>0</v>
      </c>
      <c r="D195" s="55" t="b">
        <f t="shared" si="12"/>
        <v>0</v>
      </c>
      <c r="E195" s="56"/>
      <c r="F195" s="76" t="e">
        <f t="shared" si="13"/>
        <v>#DIV/0!</v>
      </c>
      <c r="G195" s="76" t="e">
        <f t="shared" si="14"/>
        <v>#DIV/0!</v>
      </c>
      <c r="H195" s="76" t="e">
        <f t="shared" si="15"/>
        <v>#DIV/0!</v>
      </c>
      <c r="I195" s="77" t="e">
        <f t="shared" si="16"/>
        <v>#DIV/0!</v>
      </c>
      <c r="J195" s="53"/>
      <c r="K195" s="53"/>
    </row>
    <row r="196" spans="1:11" x14ac:dyDescent="0.25">
      <c r="A196" s="54">
        <f t="shared" si="9"/>
        <v>0</v>
      </c>
      <c r="B196" s="55" t="b">
        <f t="shared" si="10"/>
        <v>0</v>
      </c>
      <c r="C196" s="55" t="b">
        <f t="shared" si="11"/>
        <v>0</v>
      </c>
      <c r="D196" s="55" t="b">
        <f t="shared" si="12"/>
        <v>0</v>
      </c>
      <c r="E196" s="56"/>
      <c r="F196" s="76" t="e">
        <f t="shared" si="13"/>
        <v>#DIV/0!</v>
      </c>
      <c r="G196" s="76" t="e">
        <f t="shared" si="14"/>
        <v>#DIV/0!</v>
      </c>
      <c r="H196" s="76" t="e">
        <f t="shared" si="15"/>
        <v>#DIV/0!</v>
      </c>
      <c r="I196" s="77" t="e">
        <f t="shared" si="16"/>
        <v>#DIV/0!</v>
      </c>
      <c r="J196" s="53"/>
      <c r="K196" s="53"/>
    </row>
    <row r="197" spans="1:11" x14ac:dyDescent="0.25">
      <c r="A197" s="54">
        <f t="shared" si="9"/>
        <v>0</v>
      </c>
      <c r="B197" s="55" t="b">
        <f t="shared" si="10"/>
        <v>0</v>
      </c>
      <c r="C197" s="55" t="b">
        <f t="shared" si="11"/>
        <v>0</v>
      </c>
      <c r="D197" s="55" t="b">
        <f t="shared" si="12"/>
        <v>0</v>
      </c>
      <c r="E197" s="56"/>
      <c r="F197" s="76" t="e">
        <f t="shared" si="13"/>
        <v>#DIV/0!</v>
      </c>
      <c r="G197" s="76" t="e">
        <f t="shared" si="14"/>
        <v>#DIV/0!</v>
      </c>
      <c r="H197" s="76" t="e">
        <f t="shared" si="15"/>
        <v>#DIV/0!</v>
      </c>
      <c r="I197" s="77" t="e">
        <f t="shared" si="16"/>
        <v>#DIV/0!</v>
      </c>
      <c r="J197" s="53"/>
      <c r="K197" s="53"/>
    </row>
    <row r="198" spans="1:11" x14ac:dyDescent="0.25">
      <c r="A198" s="54">
        <f t="shared" si="9"/>
        <v>0</v>
      </c>
      <c r="B198" s="55" t="b">
        <f t="shared" si="10"/>
        <v>0</v>
      </c>
      <c r="C198" s="55" t="b">
        <f t="shared" si="11"/>
        <v>0</v>
      </c>
      <c r="D198" s="55" t="b">
        <f t="shared" si="12"/>
        <v>0</v>
      </c>
      <c r="E198" s="56"/>
      <c r="F198" s="76" t="e">
        <f t="shared" si="13"/>
        <v>#DIV/0!</v>
      </c>
      <c r="G198" s="76" t="e">
        <f t="shared" si="14"/>
        <v>#DIV/0!</v>
      </c>
      <c r="H198" s="76" t="e">
        <f t="shared" si="15"/>
        <v>#DIV/0!</v>
      </c>
      <c r="I198" s="77" t="e">
        <f t="shared" si="16"/>
        <v>#DIV/0!</v>
      </c>
      <c r="J198" s="53"/>
      <c r="K198" s="53"/>
    </row>
    <row r="199" spans="1:11" x14ac:dyDescent="0.25">
      <c r="A199" s="54">
        <f t="shared" si="9"/>
        <v>0</v>
      </c>
      <c r="B199" s="55" t="b">
        <f t="shared" si="10"/>
        <v>0</v>
      </c>
      <c r="C199" s="55" t="b">
        <f t="shared" si="11"/>
        <v>0</v>
      </c>
      <c r="D199" s="55" t="b">
        <f t="shared" si="12"/>
        <v>0</v>
      </c>
      <c r="E199" s="56"/>
      <c r="F199" s="76" t="e">
        <f t="shared" si="13"/>
        <v>#DIV/0!</v>
      </c>
      <c r="G199" s="76" t="e">
        <f t="shared" si="14"/>
        <v>#DIV/0!</v>
      </c>
      <c r="H199" s="76" t="e">
        <f t="shared" si="15"/>
        <v>#DIV/0!</v>
      </c>
      <c r="I199" s="77" t="e">
        <f t="shared" si="16"/>
        <v>#DIV/0!</v>
      </c>
      <c r="J199" s="53"/>
      <c r="K199" s="53"/>
    </row>
    <row r="200" spans="1:11" x14ac:dyDescent="0.25">
      <c r="A200" s="54">
        <f t="shared" si="9"/>
        <v>0</v>
      </c>
      <c r="B200" s="55" t="b">
        <f t="shared" si="10"/>
        <v>0</v>
      </c>
      <c r="C200" s="55" t="b">
        <f t="shared" si="11"/>
        <v>0</v>
      </c>
      <c r="D200" s="55" t="b">
        <f t="shared" si="12"/>
        <v>0</v>
      </c>
      <c r="E200" s="56"/>
      <c r="F200" s="76" t="e">
        <f t="shared" si="13"/>
        <v>#DIV/0!</v>
      </c>
      <c r="G200" s="76" t="e">
        <f t="shared" si="14"/>
        <v>#DIV/0!</v>
      </c>
      <c r="H200" s="76" t="e">
        <f t="shared" si="15"/>
        <v>#DIV/0!</v>
      </c>
      <c r="I200" s="77" t="e">
        <f t="shared" si="16"/>
        <v>#DIV/0!</v>
      </c>
      <c r="J200" s="53"/>
      <c r="K200" s="53"/>
    </row>
    <row r="201" spans="1:11" x14ac:dyDescent="0.25">
      <c r="A201" s="54">
        <f t="shared" si="9"/>
        <v>0</v>
      </c>
      <c r="B201" s="55" t="b">
        <f t="shared" si="10"/>
        <v>0</v>
      </c>
      <c r="C201" s="55" t="b">
        <f t="shared" si="11"/>
        <v>0</v>
      </c>
      <c r="D201" s="55" t="b">
        <f t="shared" si="12"/>
        <v>0</v>
      </c>
      <c r="E201" s="56"/>
      <c r="F201" s="76" t="e">
        <f t="shared" si="13"/>
        <v>#DIV/0!</v>
      </c>
      <c r="G201" s="76" t="e">
        <f t="shared" si="14"/>
        <v>#DIV/0!</v>
      </c>
      <c r="H201" s="76" t="e">
        <f t="shared" si="15"/>
        <v>#DIV/0!</v>
      </c>
      <c r="I201" s="77" t="e">
        <f t="shared" si="16"/>
        <v>#DIV/0!</v>
      </c>
      <c r="J201" s="53"/>
      <c r="K201" s="53"/>
    </row>
    <row r="202" spans="1:11" x14ac:dyDescent="0.25">
      <c r="A202" s="54">
        <f>IF(A100&gt;0,A201+1,0)</f>
        <v>0</v>
      </c>
      <c r="B202" s="55" t="b">
        <f t="shared" si="10"/>
        <v>0</v>
      </c>
      <c r="C202" s="55" t="b">
        <f t="shared" si="11"/>
        <v>0</v>
      </c>
      <c r="D202" s="55" t="b">
        <f t="shared" si="12"/>
        <v>0</v>
      </c>
      <c r="E202" s="56"/>
      <c r="F202" s="76" t="e">
        <f t="shared" si="13"/>
        <v>#DIV/0!</v>
      </c>
      <c r="G202" s="76" t="e">
        <f t="shared" si="14"/>
        <v>#DIV/0!</v>
      </c>
      <c r="H202" s="76" t="e">
        <f t="shared" si="15"/>
        <v>#DIV/0!</v>
      </c>
      <c r="I202" s="77" t="e">
        <f t="shared" si="16"/>
        <v>#DIV/0!</v>
      </c>
      <c r="J202" s="53"/>
      <c r="K202" s="53"/>
    </row>
    <row r="203" spans="1:11" x14ac:dyDescent="0.25">
      <c r="A203" s="54">
        <f>IF(A101&gt;0,A202+1,0)</f>
        <v>0</v>
      </c>
      <c r="B203" s="55" t="b">
        <f t="shared" si="10"/>
        <v>0</v>
      </c>
      <c r="C203" s="55" t="b">
        <f t="shared" si="11"/>
        <v>0</v>
      </c>
      <c r="D203" s="55" t="b">
        <f t="shared" si="12"/>
        <v>0</v>
      </c>
      <c r="E203" s="56"/>
      <c r="F203" s="76" t="e">
        <f t="shared" si="13"/>
        <v>#DIV/0!</v>
      </c>
      <c r="G203" s="76" t="e">
        <f t="shared" si="14"/>
        <v>#DIV/0!</v>
      </c>
      <c r="H203" s="76" t="e">
        <f t="shared" si="15"/>
        <v>#DIV/0!</v>
      </c>
      <c r="I203" s="77" t="e">
        <f t="shared" si="16"/>
        <v>#DIV/0!</v>
      </c>
      <c r="J203" s="53"/>
      <c r="K203" s="53"/>
    </row>
    <row r="204" spans="1:11" x14ac:dyDescent="0.25">
      <c r="A204" s="54">
        <f>IF(A102&gt;0,A203+1,0)</f>
        <v>0</v>
      </c>
      <c r="B204" s="55" t="b">
        <f t="shared" si="10"/>
        <v>0</v>
      </c>
      <c r="C204" s="55" t="b">
        <f t="shared" si="11"/>
        <v>0</v>
      </c>
      <c r="D204" s="55" t="b">
        <f t="shared" si="12"/>
        <v>0</v>
      </c>
      <c r="E204" s="56"/>
      <c r="F204" s="76" t="e">
        <f t="shared" si="13"/>
        <v>#DIV/0!</v>
      </c>
      <c r="G204" s="76" t="e">
        <f t="shared" si="14"/>
        <v>#DIV/0!</v>
      </c>
      <c r="H204" s="76" t="e">
        <f t="shared" si="15"/>
        <v>#DIV/0!</v>
      </c>
      <c r="I204" s="77" t="e">
        <f t="shared" si="16"/>
        <v>#DIV/0!</v>
      </c>
      <c r="J204" s="53"/>
      <c r="K204" s="53"/>
    </row>
    <row r="205" spans="1:11" x14ac:dyDescent="0.25">
      <c r="A205" s="53"/>
      <c r="B205" s="53"/>
      <c r="C205" s="53"/>
      <c r="D205" s="53"/>
      <c r="E205" s="57"/>
      <c r="F205" s="57"/>
      <c r="G205" s="57"/>
      <c r="H205" s="57"/>
      <c r="I205" s="53"/>
      <c r="J205" s="53"/>
      <c r="K205" s="53"/>
    </row>
    <row r="206" spans="1:11" x14ac:dyDescent="0.25">
      <c r="A206" s="53"/>
      <c r="B206" s="53"/>
      <c r="C206" s="53"/>
      <c r="D206" s="53"/>
      <c r="E206" s="57"/>
      <c r="F206" s="57"/>
      <c r="G206" s="57"/>
      <c r="H206" s="57"/>
      <c r="I206" s="53"/>
      <c r="J206" s="53"/>
      <c r="K206" s="53"/>
    </row>
    <row r="207" spans="1:11" x14ac:dyDescent="0.25">
      <c r="A207" s="53"/>
      <c r="B207" s="53"/>
      <c r="C207" s="53"/>
      <c r="D207" s="53"/>
      <c r="E207" s="57"/>
      <c r="F207" s="57"/>
      <c r="G207" s="57"/>
      <c r="H207" s="57"/>
      <c r="I207" s="53"/>
      <c r="J207" s="53"/>
      <c r="K207" s="53"/>
    </row>
    <row r="208" spans="1:11" x14ac:dyDescent="0.25">
      <c r="A208" s="182" t="s">
        <v>29</v>
      </c>
      <c r="B208" s="175" t="str">
        <f>Породы!B4</f>
        <v>Mellifera</v>
      </c>
      <c r="C208" s="175" t="s">
        <v>25</v>
      </c>
      <c r="D208" s="175"/>
      <c r="E208" s="175" t="s">
        <v>26</v>
      </c>
      <c r="F208" s="175"/>
      <c r="G208" s="175" t="s">
        <v>27</v>
      </c>
      <c r="H208" s="175"/>
      <c r="I208" s="175" t="s">
        <v>28</v>
      </c>
      <c r="J208" s="175"/>
      <c r="K208" s="53"/>
    </row>
    <row r="209" spans="1:11" x14ac:dyDescent="0.25">
      <c r="A209" s="182"/>
      <c r="B209" s="175"/>
      <c r="C209" s="58">
        <f>Породы!C4</f>
        <v>0.76</v>
      </c>
      <c r="D209" s="58">
        <f>Породы!E4</f>
        <v>-15.31</v>
      </c>
      <c r="E209" s="58">
        <f>C209</f>
        <v>0.76</v>
      </c>
      <c r="F209" s="58">
        <f>D210</f>
        <v>0</v>
      </c>
      <c r="G209" s="58">
        <f>E210</f>
        <v>2.16</v>
      </c>
      <c r="H209" s="58">
        <f t="shared" ref="H209:H238" si="17">D209</f>
        <v>-15.31</v>
      </c>
      <c r="I209" s="58">
        <f>C209</f>
        <v>0.76</v>
      </c>
      <c r="J209" s="58">
        <f>D209</f>
        <v>-15.31</v>
      </c>
      <c r="K209" s="53"/>
    </row>
    <row r="210" spans="1:11" x14ac:dyDescent="0.25">
      <c r="A210" s="182"/>
      <c r="B210" s="175"/>
      <c r="C210" s="58">
        <f>C209</f>
        <v>0.76</v>
      </c>
      <c r="D210" s="58">
        <f>Породы!F4</f>
        <v>0</v>
      </c>
      <c r="E210" s="58">
        <f>Породы!D4</f>
        <v>2.16</v>
      </c>
      <c r="F210" s="58">
        <f>D210</f>
        <v>0</v>
      </c>
      <c r="G210" s="58">
        <f>E210</f>
        <v>2.16</v>
      </c>
      <c r="H210" s="58">
        <f t="shared" si="17"/>
        <v>0</v>
      </c>
      <c r="I210" s="58">
        <f>E210</f>
        <v>2.16</v>
      </c>
      <c r="J210" s="58">
        <f>D209</f>
        <v>-15.31</v>
      </c>
      <c r="K210" s="53"/>
    </row>
    <row r="211" spans="1:11" x14ac:dyDescent="0.25">
      <c r="A211" s="182"/>
      <c r="B211" s="175" t="str">
        <f>Породы!B5</f>
        <v>Caucasica</v>
      </c>
      <c r="C211" s="58">
        <f>Породы!C5</f>
        <v>1.73</v>
      </c>
      <c r="D211" s="58">
        <f>Породы!E5</f>
        <v>-2.84</v>
      </c>
      <c r="E211" s="58">
        <f>C211</f>
        <v>1.73</v>
      </c>
      <c r="F211" s="58">
        <f>D212</f>
        <v>2.84</v>
      </c>
      <c r="G211" s="58">
        <f>E212</f>
        <v>2.75</v>
      </c>
      <c r="H211" s="58">
        <f t="shared" si="17"/>
        <v>-2.84</v>
      </c>
      <c r="I211" s="58">
        <f>C211</f>
        <v>1.73</v>
      </c>
      <c r="J211" s="58">
        <f>D211</f>
        <v>-2.84</v>
      </c>
      <c r="K211" s="53"/>
    </row>
    <row r="212" spans="1:11" x14ac:dyDescent="0.25">
      <c r="A212" s="182"/>
      <c r="B212" s="175"/>
      <c r="C212" s="58">
        <f>C211</f>
        <v>1.73</v>
      </c>
      <c r="D212" s="58">
        <f>Породы!F5</f>
        <v>2.84</v>
      </c>
      <c r="E212" s="58">
        <f>Породы!D5</f>
        <v>2.75</v>
      </c>
      <c r="F212" s="58">
        <f>D212</f>
        <v>2.84</v>
      </c>
      <c r="G212" s="58">
        <f>E212</f>
        <v>2.75</v>
      </c>
      <c r="H212" s="58">
        <f t="shared" si="17"/>
        <v>2.84</v>
      </c>
      <c r="I212" s="58">
        <f>E212</f>
        <v>2.75</v>
      </c>
      <c r="J212" s="58">
        <f>D211</f>
        <v>-2.84</v>
      </c>
      <c r="K212" s="53"/>
    </row>
    <row r="213" spans="1:11" x14ac:dyDescent="0.25">
      <c r="A213" s="182"/>
      <c r="B213" s="175" t="str">
        <f>Породы!B6</f>
        <v>Ligustica</v>
      </c>
      <c r="C213" s="58">
        <f>Породы!C6</f>
        <v>2</v>
      </c>
      <c r="D213" s="58">
        <f>Породы!E6</f>
        <v>0</v>
      </c>
      <c r="E213" s="58">
        <f>C213</f>
        <v>2</v>
      </c>
      <c r="F213" s="58">
        <f>D214</f>
        <v>4.7300000000000004</v>
      </c>
      <c r="G213" s="58">
        <f>E214</f>
        <v>3.29</v>
      </c>
      <c r="H213" s="58">
        <f t="shared" si="17"/>
        <v>0</v>
      </c>
      <c r="I213" s="58">
        <f>C213</f>
        <v>2</v>
      </c>
      <c r="J213" s="58">
        <f>D213</f>
        <v>0</v>
      </c>
      <c r="K213" s="53"/>
    </row>
    <row r="214" spans="1:11" x14ac:dyDescent="0.25">
      <c r="A214" s="182"/>
      <c r="B214" s="175"/>
      <c r="C214" s="58">
        <f>C213</f>
        <v>2</v>
      </c>
      <c r="D214" s="58">
        <f>Породы!F6</f>
        <v>4.7300000000000004</v>
      </c>
      <c r="E214" s="58">
        <f>Породы!D6</f>
        <v>3.29</v>
      </c>
      <c r="F214" s="58">
        <f>D214</f>
        <v>4.7300000000000004</v>
      </c>
      <c r="G214" s="58">
        <f>E214</f>
        <v>3.29</v>
      </c>
      <c r="H214" s="58">
        <f t="shared" si="17"/>
        <v>4.7300000000000004</v>
      </c>
      <c r="I214" s="58">
        <f>E214</f>
        <v>3.29</v>
      </c>
      <c r="J214" s="58">
        <f>D213</f>
        <v>0</v>
      </c>
      <c r="K214" s="53"/>
    </row>
    <row r="215" spans="1:11" x14ac:dyDescent="0.25">
      <c r="A215" s="182"/>
      <c r="B215" s="175" t="str">
        <f>Породы!B7</f>
        <v>Carnica</v>
      </c>
      <c r="C215" s="58">
        <f>Породы!C7</f>
        <v>2.16</v>
      </c>
      <c r="D215" s="58">
        <f>Породы!E7</f>
        <v>0</v>
      </c>
      <c r="E215" s="58">
        <f>C215</f>
        <v>2.16</v>
      </c>
      <c r="F215" s="58">
        <f>D216</f>
        <v>12.39</v>
      </c>
      <c r="G215" s="58">
        <f>E216</f>
        <v>5.67</v>
      </c>
      <c r="H215" s="58">
        <f t="shared" si="17"/>
        <v>0</v>
      </c>
      <c r="I215" s="58">
        <f>C215</f>
        <v>2.16</v>
      </c>
      <c r="J215" s="58">
        <f>D215</f>
        <v>0</v>
      </c>
      <c r="K215" s="53"/>
    </row>
    <row r="216" spans="1:11" x14ac:dyDescent="0.25">
      <c r="A216" s="182"/>
      <c r="B216" s="175"/>
      <c r="C216" s="58">
        <f>C215</f>
        <v>2.16</v>
      </c>
      <c r="D216" s="58">
        <f>Породы!F7</f>
        <v>12.39</v>
      </c>
      <c r="E216" s="58">
        <f>Породы!D7</f>
        <v>5.67</v>
      </c>
      <c r="F216" s="58">
        <f>D216</f>
        <v>12.39</v>
      </c>
      <c r="G216" s="58">
        <f>E216</f>
        <v>5.67</v>
      </c>
      <c r="H216" s="58">
        <f t="shared" si="17"/>
        <v>12.39</v>
      </c>
      <c r="I216" s="58">
        <f>E216</f>
        <v>5.67</v>
      </c>
      <c r="J216" s="58">
        <f>D215</f>
        <v>0</v>
      </c>
      <c r="K216" s="53"/>
    </row>
    <row r="217" spans="1:11" x14ac:dyDescent="0.25">
      <c r="A217" s="182"/>
      <c r="B217" s="175" t="s">
        <v>30</v>
      </c>
      <c r="C217" s="58">
        <f>Индексы!B108</f>
        <v>1.2029073916946968</v>
      </c>
      <c r="D217" s="58">
        <f>Индексы!C108</f>
        <v>-7.7474338380844898</v>
      </c>
      <c r="E217" s="58">
        <f>C217</f>
        <v>1.2029073916946968</v>
      </c>
      <c r="F217" s="58">
        <f>D218</f>
        <v>-2.7847138380844894</v>
      </c>
      <c r="G217" s="58">
        <f>E218</f>
        <v>1.9673073916946966</v>
      </c>
      <c r="H217" s="58">
        <f t="shared" si="17"/>
        <v>-7.7474338380844898</v>
      </c>
      <c r="I217" s="58">
        <f>C217</f>
        <v>1.2029073916946968</v>
      </c>
      <c r="J217" s="58">
        <f>D217</f>
        <v>-7.7474338380844898</v>
      </c>
      <c r="K217" s="53"/>
    </row>
    <row r="218" spans="1:11" x14ac:dyDescent="0.25">
      <c r="A218" s="182"/>
      <c r="B218" s="175"/>
      <c r="C218" s="58">
        <f>C217</f>
        <v>1.2029073916946968</v>
      </c>
      <c r="D218" s="58">
        <f>Индексы!C109</f>
        <v>-2.7847138380844894</v>
      </c>
      <c r="E218" s="58">
        <f>Индексы!B109</f>
        <v>1.9673073916946966</v>
      </c>
      <c r="F218" s="58">
        <f>D218</f>
        <v>-2.7847138380844894</v>
      </c>
      <c r="G218" s="58">
        <f>E218</f>
        <v>1.9673073916946966</v>
      </c>
      <c r="H218" s="58">
        <f t="shared" si="17"/>
        <v>-2.7847138380844894</v>
      </c>
      <c r="I218" s="58">
        <f>E218</f>
        <v>1.9673073916946966</v>
      </c>
      <c r="J218" s="58">
        <f>D217</f>
        <v>-7.7474338380844898</v>
      </c>
      <c r="K218" s="53"/>
    </row>
    <row r="219" spans="1:11" x14ac:dyDescent="0.25">
      <c r="A219" s="182" t="s">
        <v>31</v>
      </c>
      <c r="B219" s="175" t="str">
        <f>B208</f>
        <v>Mellifera</v>
      </c>
      <c r="C219" s="58">
        <f>C209</f>
        <v>0.76</v>
      </c>
      <c r="D219" s="58">
        <f>Породы!G4</f>
        <v>0.61599999999999999</v>
      </c>
      <c r="E219" s="58">
        <f>C219</f>
        <v>0.76</v>
      </c>
      <c r="F219" s="58">
        <f>D220</f>
        <v>0.92300000000000004</v>
      </c>
      <c r="G219" s="58">
        <f>E220</f>
        <v>2.16</v>
      </c>
      <c r="H219" s="58">
        <f t="shared" si="17"/>
        <v>0.61599999999999999</v>
      </c>
      <c r="I219" s="58">
        <f>C219</f>
        <v>0.76</v>
      </c>
      <c r="J219" s="58">
        <f>D219</f>
        <v>0.61599999999999999</v>
      </c>
      <c r="K219" s="53"/>
    </row>
    <row r="220" spans="1:11" x14ac:dyDescent="0.25">
      <c r="A220" s="182"/>
      <c r="B220" s="175"/>
      <c r="C220" s="58">
        <f>C219</f>
        <v>0.76</v>
      </c>
      <c r="D220" s="58">
        <f>Породы!H4</f>
        <v>0.92300000000000004</v>
      </c>
      <c r="E220" s="58">
        <f>Породы!D4</f>
        <v>2.16</v>
      </c>
      <c r="F220" s="58">
        <f>D220</f>
        <v>0.92300000000000004</v>
      </c>
      <c r="G220" s="58">
        <f>E220</f>
        <v>2.16</v>
      </c>
      <c r="H220" s="58">
        <f t="shared" si="17"/>
        <v>0.92300000000000004</v>
      </c>
      <c r="I220" s="58">
        <f>E220</f>
        <v>2.16</v>
      </c>
      <c r="J220" s="58">
        <f>D219</f>
        <v>0.61599999999999999</v>
      </c>
      <c r="K220" s="53"/>
    </row>
    <row r="221" spans="1:11" x14ac:dyDescent="0.25">
      <c r="A221" s="182"/>
      <c r="B221" s="175" t="str">
        <f>B211</f>
        <v>Caucasica</v>
      </c>
      <c r="C221" s="58">
        <f>Породы!C5</f>
        <v>1.73</v>
      </c>
      <c r="D221" s="58">
        <f>Породы!G5</f>
        <v>0.70399999999999996</v>
      </c>
      <c r="E221" s="58">
        <f>C221</f>
        <v>1.73</v>
      </c>
      <c r="F221" s="58">
        <f>D222</f>
        <v>1.0269999999999999</v>
      </c>
      <c r="G221" s="58">
        <f>E222</f>
        <v>2.75</v>
      </c>
      <c r="H221" s="58">
        <f t="shared" si="17"/>
        <v>0.70399999999999996</v>
      </c>
      <c r="I221" s="58">
        <f>C221</f>
        <v>1.73</v>
      </c>
      <c r="J221" s="58">
        <f>D221</f>
        <v>0.70399999999999996</v>
      </c>
      <c r="K221" s="53"/>
    </row>
    <row r="222" spans="1:11" x14ac:dyDescent="0.25">
      <c r="A222" s="182"/>
      <c r="B222" s="175"/>
      <c r="C222" s="58">
        <f>C221</f>
        <v>1.73</v>
      </c>
      <c r="D222" s="58">
        <f>Породы!H5</f>
        <v>1.0269999999999999</v>
      </c>
      <c r="E222" s="58">
        <f>Породы!D5</f>
        <v>2.75</v>
      </c>
      <c r="F222" s="58">
        <f>D222</f>
        <v>1.0269999999999999</v>
      </c>
      <c r="G222" s="58">
        <f>E222</f>
        <v>2.75</v>
      </c>
      <c r="H222" s="58">
        <f t="shared" si="17"/>
        <v>1.0269999999999999</v>
      </c>
      <c r="I222" s="58">
        <f>E222</f>
        <v>2.75</v>
      </c>
      <c r="J222" s="58">
        <f>D221</f>
        <v>0.70399999999999996</v>
      </c>
      <c r="K222" s="53"/>
    </row>
    <row r="223" spans="1:11" x14ac:dyDescent="0.25">
      <c r="A223" s="182"/>
      <c r="B223" s="175" t="str">
        <f>B213</f>
        <v>Ligustica</v>
      </c>
      <c r="C223" s="58">
        <f>Породы!C6</f>
        <v>2</v>
      </c>
      <c r="D223" s="58">
        <f>Породы!G6</f>
        <v>0.92300000000000004</v>
      </c>
      <c r="E223" s="58">
        <f>C223</f>
        <v>2</v>
      </c>
      <c r="F223" s="58">
        <f>D224</f>
        <v>1.206</v>
      </c>
      <c r="G223" s="58">
        <f>E224</f>
        <v>3.29</v>
      </c>
      <c r="H223" s="58">
        <f t="shared" si="17"/>
        <v>0.92300000000000004</v>
      </c>
      <c r="I223" s="58">
        <f>C223</f>
        <v>2</v>
      </c>
      <c r="J223" s="58">
        <f>D223</f>
        <v>0.92300000000000004</v>
      </c>
      <c r="K223" s="53"/>
    </row>
    <row r="224" spans="1:11" x14ac:dyDescent="0.25">
      <c r="A224" s="182"/>
      <c r="B224" s="175"/>
      <c r="C224" s="58">
        <f>C223</f>
        <v>2</v>
      </c>
      <c r="D224" s="58">
        <f>Породы!H6</f>
        <v>1.206</v>
      </c>
      <c r="E224" s="58">
        <f>Породы!D6</f>
        <v>3.29</v>
      </c>
      <c r="F224" s="58">
        <f>D224</f>
        <v>1.206</v>
      </c>
      <c r="G224" s="58">
        <f>E224</f>
        <v>3.29</v>
      </c>
      <c r="H224" s="58">
        <f t="shared" si="17"/>
        <v>1.206</v>
      </c>
      <c r="I224" s="58">
        <f>E224</f>
        <v>3.29</v>
      </c>
      <c r="J224" s="58">
        <f>D223</f>
        <v>0.92300000000000004</v>
      </c>
      <c r="K224" s="53"/>
    </row>
    <row r="225" spans="1:11" x14ac:dyDescent="0.25">
      <c r="A225" s="182"/>
      <c r="B225" s="175" t="str">
        <f>B215</f>
        <v>Carnica</v>
      </c>
      <c r="C225" s="58">
        <f>Породы!C7</f>
        <v>2.16</v>
      </c>
      <c r="D225" s="58">
        <f>Породы!G7</f>
        <v>0.92300000000000004</v>
      </c>
      <c r="E225" s="58">
        <f>C225</f>
        <v>2.16</v>
      </c>
      <c r="F225" s="58">
        <f>D226</f>
        <v>1.42</v>
      </c>
      <c r="G225" s="58">
        <f>E226</f>
        <v>5.67</v>
      </c>
      <c r="H225" s="58">
        <f t="shared" si="17"/>
        <v>0.92300000000000004</v>
      </c>
      <c r="I225" s="58">
        <f>C225</f>
        <v>2.16</v>
      </c>
      <c r="J225" s="58">
        <f>D225</f>
        <v>0.92300000000000004</v>
      </c>
      <c r="K225" s="53"/>
    </row>
    <row r="226" spans="1:11" x14ac:dyDescent="0.25">
      <c r="A226" s="182"/>
      <c r="B226" s="175"/>
      <c r="C226" s="58">
        <f>C225</f>
        <v>2.16</v>
      </c>
      <c r="D226" s="58">
        <f>Породы!H7</f>
        <v>1.42</v>
      </c>
      <c r="E226" s="58">
        <f>Породы!D7</f>
        <v>5.67</v>
      </c>
      <c r="F226" s="58">
        <f>D226</f>
        <v>1.42</v>
      </c>
      <c r="G226" s="58">
        <f>E226</f>
        <v>5.67</v>
      </c>
      <c r="H226" s="58">
        <f t="shared" si="17"/>
        <v>1.42</v>
      </c>
      <c r="I226" s="58">
        <f>E226</f>
        <v>5.67</v>
      </c>
      <c r="J226" s="58">
        <f>D225</f>
        <v>0.92300000000000004</v>
      </c>
      <c r="K226" s="53"/>
    </row>
    <row r="227" spans="1:11" x14ac:dyDescent="0.25">
      <c r="A227" s="182"/>
      <c r="B227" s="175" t="str">
        <f>B217</f>
        <v>Doverit</v>
      </c>
      <c r="C227" s="58">
        <f>Индексы!B108</f>
        <v>1.2029073916946968</v>
      </c>
      <c r="D227" s="58">
        <f>Индексы!D108</f>
        <v>0.67878097687763495</v>
      </c>
      <c r="E227" s="58">
        <f>C227</f>
        <v>1.2029073916946968</v>
      </c>
      <c r="F227" s="58">
        <f>D228</f>
        <v>0.83166097687763485</v>
      </c>
      <c r="G227" s="58">
        <f>E228</f>
        <v>1.9673073916946966</v>
      </c>
      <c r="H227" s="58">
        <f t="shared" si="17"/>
        <v>0.67878097687763495</v>
      </c>
      <c r="I227" s="58">
        <f>C227</f>
        <v>1.2029073916946968</v>
      </c>
      <c r="J227" s="58">
        <f>D227</f>
        <v>0.67878097687763495</v>
      </c>
      <c r="K227" s="53"/>
    </row>
    <row r="228" spans="1:11" x14ac:dyDescent="0.25">
      <c r="A228" s="182"/>
      <c r="B228" s="175"/>
      <c r="C228" s="58">
        <f>C227</f>
        <v>1.2029073916946968</v>
      </c>
      <c r="D228" s="58">
        <f>Индексы!D109</f>
        <v>0.83166097687763485</v>
      </c>
      <c r="E228" s="58">
        <f>Индексы!B109</f>
        <v>1.9673073916946966</v>
      </c>
      <c r="F228" s="58">
        <f>D228</f>
        <v>0.83166097687763485</v>
      </c>
      <c r="G228" s="58">
        <f>E228</f>
        <v>1.9673073916946966</v>
      </c>
      <c r="H228" s="58">
        <f t="shared" si="17"/>
        <v>0.83166097687763485</v>
      </c>
      <c r="I228" s="58">
        <f>E228</f>
        <v>1.9673073916946966</v>
      </c>
      <c r="J228" s="58">
        <f>D227</f>
        <v>0.67878097687763495</v>
      </c>
      <c r="K228" s="53"/>
    </row>
    <row r="229" spans="1:11" x14ac:dyDescent="0.25">
      <c r="A229" s="182" t="s">
        <v>32</v>
      </c>
      <c r="B229" s="175" t="str">
        <f>B219</f>
        <v>Mellifera</v>
      </c>
      <c r="C229" s="58">
        <f>Породы!G4</f>
        <v>0.61599999999999999</v>
      </c>
      <c r="D229" s="58">
        <f>Породы!E4</f>
        <v>-15.31</v>
      </c>
      <c r="E229" s="58">
        <f>C229</f>
        <v>0.61599999999999999</v>
      </c>
      <c r="F229" s="58">
        <f>D230</f>
        <v>0</v>
      </c>
      <c r="G229" s="58">
        <f>E230</f>
        <v>0.92300000000000004</v>
      </c>
      <c r="H229" s="58">
        <f t="shared" si="17"/>
        <v>-15.31</v>
      </c>
      <c r="I229" s="58">
        <f>C229</f>
        <v>0.61599999999999999</v>
      </c>
      <c r="J229" s="58">
        <f>D229</f>
        <v>-15.31</v>
      </c>
      <c r="K229" s="53"/>
    </row>
    <row r="230" spans="1:11" x14ac:dyDescent="0.25">
      <c r="A230" s="182"/>
      <c r="B230" s="175"/>
      <c r="C230" s="58">
        <f>C229</f>
        <v>0.61599999999999999</v>
      </c>
      <c r="D230" s="58">
        <f>Породы!F4</f>
        <v>0</v>
      </c>
      <c r="E230" s="58">
        <f>Породы!H4</f>
        <v>0.92300000000000004</v>
      </c>
      <c r="F230" s="58">
        <f>D230</f>
        <v>0</v>
      </c>
      <c r="G230" s="58">
        <f>E230</f>
        <v>0.92300000000000004</v>
      </c>
      <c r="H230" s="58">
        <f t="shared" si="17"/>
        <v>0</v>
      </c>
      <c r="I230" s="58">
        <f>E230</f>
        <v>0.92300000000000004</v>
      </c>
      <c r="J230" s="58">
        <f>D229</f>
        <v>-15.31</v>
      </c>
      <c r="K230" s="53"/>
    </row>
    <row r="231" spans="1:11" x14ac:dyDescent="0.25">
      <c r="A231" s="182"/>
      <c r="B231" s="175" t="str">
        <f>B221</f>
        <v>Caucasica</v>
      </c>
      <c r="C231" s="58">
        <f>Породы!G5</f>
        <v>0.70399999999999996</v>
      </c>
      <c r="D231" s="58">
        <f>Породы!E5</f>
        <v>-2.84</v>
      </c>
      <c r="E231" s="58">
        <f>C231</f>
        <v>0.70399999999999996</v>
      </c>
      <c r="F231" s="58">
        <f>D232</f>
        <v>2.84</v>
      </c>
      <c r="G231" s="58">
        <f>E232</f>
        <v>1.0269999999999999</v>
      </c>
      <c r="H231" s="58">
        <f t="shared" si="17"/>
        <v>-2.84</v>
      </c>
      <c r="I231" s="58">
        <f>C231</f>
        <v>0.70399999999999996</v>
      </c>
      <c r="J231" s="58">
        <f>D231</f>
        <v>-2.84</v>
      </c>
      <c r="K231" s="53"/>
    </row>
    <row r="232" spans="1:11" x14ac:dyDescent="0.25">
      <c r="A232" s="182"/>
      <c r="B232" s="175"/>
      <c r="C232" s="58">
        <f>C231</f>
        <v>0.70399999999999996</v>
      </c>
      <c r="D232" s="58">
        <f>Породы!F5</f>
        <v>2.84</v>
      </c>
      <c r="E232" s="58">
        <f>Породы!H5</f>
        <v>1.0269999999999999</v>
      </c>
      <c r="F232" s="58">
        <f>D232</f>
        <v>2.84</v>
      </c>
      <c r="G232" s="58">
        <f>E232</f>
        <v>1.0269999999999999</v>
      </c>
      <c r="H232" s="58">
        <f t="shared" si="17"/>
        <v>2.84</v>
      </c>
      <c r="I232" s="58">
        <f>E232</f>
        <v>1.0269999999999999</v>
      </c>
      <c r="J232" s="58">
        <f>D231</f>
        <v>-2.84</v>
      </c>
      <c r="K232" s="53"/>
    </row>
    <row r="233" spans="1:11" x14ac:dyDescent="0.25">
      <c r="A233" s="182"/>
      <c r="B233" s="175" t="str">
        <f>B223</f>
        <v>Ligustica</v>
      </c>
      <c r="C233" s="58">
        <f>Породы!G6</f>
        <v>0.92300000000000004</v>
      </c>
      <c r="D233" s="58">
        <f>Породы!E6</f>
        <v>0</v>
      </c>
      <c r="E233" s="58">
        <f>C233</f>
        <v>0.92300000000000004</v>
      </c>
      <c r="F233" s="58">
        <f>D234</f>
        <v>4.7300000000000004</v>
      </c>
      <c r="G233" s="58">
        <f>E234</f>
        <v>1.206</v>
      </c>
      <c r="H233" s="58">
        <f t="shared" si="17"/>
        <v>0</v>
      </c>
      <c r="I233" s="58">
        <f>C233</f>
        <v>0.92300000000000004</v>
      </c>
      <c r="J233" s="58">
        <f>D233</f>
        <v>0</v>
      </c>
      <c r="K233" s="53"/>
    </row>
    <row r="234" spans="1:11" x14ac:dyDescent="0.25">
      <c r="A234" s="182"/>
      <c r="B234" s="175"/>
      <c r="C234" s="58">
        <f>C233</f>
        <v>0.92300000000000004</v>
      </c>
      <c r="D234" s="58">
        <f>Породы!F6</f>
        <v>4.7300000000000004</v>
      </c>
      <c r="E234" s="58">
        <f>Породы!H6</f>
        <v>1.206</v>
      </c>
      <c r="F234" s="58">
        <f>D234</f>
        <v>4.7300000000000004</v>
      </c>
      <c r="G234" s="58">
        <f>E234</f>
        <v>1.206</v>
      </c>
      <c r="H234" s="58">
        <f t="shared" si="17"/>
        <v>4.7300000000000004</v>
      </c>
      <c r="I234" s="58">
        <f>E234</f>
        <v>1.206</v>
      </c>
      <c r="J234" s="58">
        <f>D233</f>
        <v>0</v>
      </c>
      <c r="K234" s="53"/>
    </row>
    <row r="235" spans="1:11" x14ac:dyDescent="0.25">
      <c r="A235" s="182"/>
      <c r="B235" s="175" t="str">
        <f>B225</f>
        <v>Carnica</v>
      </c>
      <c r="C235" s="58">
        <f>Породы!G7</f>
        <v>0.92300000000000004</v>
      </c>
      <c r="D235" s="58">
        <f>Породы!E7</f>
        <v>0</v>
      </c>
      <c r="E235" s="58">
        <f>C235</f>
        <v>0.92300000000000004</v>
      </c>
      <c r="F235" s="58">
        <f>D236</f>
        <v>12.39</v>
      </c>
      <c r="G235" s="58">
        <f>E236</f>
        <v>1.42</v>
      </c>
      <c r="H235" s="58">
        <f t="shared" si="17"/>
        <v>0</v>
      </c>
      <c r="I235" s="58">
        <f>C235</f>
        <v>0.92300000000000004</v>
      </c>
      <c r="J235" s="58">
        <f>D235</f>
        <v>0</v>
      </c>
      <c r="K235" s="53"/>
    </row>
    <row r="236" spans="1:11" x14ac:dyDescent="0.25">
      <c r="A236" s="182"/>
      <c r="B236" s="175"/>
      <c r="C236" s="58">
        <f>C235</f>
        <v>0.92300000000000004</v>
      </c>
      <c r="D236" s="58">
        <f>Породы!F7</f>
        <v>12.39</v>
      </c>
      <c r="E236" s="58">
        <f>Породы!H7</f>
        <v>1.42</v>
      </c>
      <c r="F236" s="58">
        <f>D236</f>
        <v>12.39</v>
      </c>
      <c r="G236" s="58">
        <f>E236</f>
        <v>1.42</v>
      </c>
      <c r="H236" s="58">
        <f t="shared" si="17"/>
        <v>12.39</v>
      </c>
      <c r="I236" s="58">
        <f>E236</f>
        <v>1.42</v>
      </c>
      <c r="J236" s="58">
        <f>D235</f>
        <v>0</v>
      </c>
      <c r="K236" s="53"/>
    </row>
    <row r="237" spans="1:11" x14ac:dyDescent="0.25">
      <c r="A237" s="182"/>
      <c r="B237" s="175" t="str">
        <f>B227</f>
        <v>Doverit</v>
      </c>
      <c r="C237" s="58">
        <f>Индексы!D108</f>
        <v>0.67878097687763495</v>
      </c>
      <c r="D237" s="58">
        <f>Индексы!C108</f>
        <v>-7.7474338380844898</v>
      </c>
      <c r="E237" s="58">
        <f>C237</f>
        <v>0.67878097687763495</v>
      </c>
      <c r="F237" s="58">
        <f>D238</f>
        <v>-2.7847138380844894</v>
      </c>
      <c r="G237" s="58">
        <f>E238</f>
        <v>0.83166097687763485</v>
      </c>
      <c r="H237" s="58">
        <f t="shared" si="17"/>
        <v>-7.7474338380844898</v>
      </c>
      <c r="I237" s="58">
        <f>C237</f>
        <v>0.67878097687763495</v>
      </c>
      <c r="J237" s="58">
        <f>D237</f>
        <v>-7.7474338380844898</v>
      </c>
      <c r="K237" s="53"/>
    </row>
    <row r="238" spans="1:11" x14ac:dyDescent="0.25">
      <c r="A238" s="182"/>
      <c r="B238" s="175"/>
      <c r="C238" s="58">
        <f>C237</f>
        <v>0.67878097687763495</v>
      </c>
      <c r="D238" s="58">
        <f>Индексы!C109</f>
        <v>-2.7847138380844894</v>
      </c>
      <c r="E238" s="58">
        <f>Индексы!D109</f>
        <v>0.83166097687763485</v>
      </c>
      <c r="F238" s="58">
        <f>D238</f>
        <v>-2.7847138380844894</v>
      </c>
      <c r="G238" s="58">
        <f>E238</f>
        <v>0.83166097687763485</v>
      </c>
      <c r="H238" s="58">
        <f t="shared" si="17"/>
        <v>-2.7847138380844894</v>
      </c>
      <c r="I238" s="58">
        <f>E238</f>
        <v>0.83166097687763485</v>
      </c>
      <c r="J238" s="58">
        <f>D237</f>
        <v>-7.7474338380844898</v>
      </c>
      <c r="K238" s="53"/>
    </row>
    <row r="239" spans="1:11" x14ac:dyDescent="0.25">
      <c r="A239" s="176" t="s">
        <v>97</v>
      </c>
      <c r="B239" s="177"/>
      <c r="C239" s="175" t="s">
        <v>25</v>
      </c>
      <c r="D239" s="175"/>
      <c r="E239" s="187"/>
      <c r="F239" s="187"/>
      <c r="G239" s="175" t="s">
        <v>27</v>
      </c>
      <c r="H239" s="175"/>
      <c r="I239" s="187"/>
      <c r="J239" s="187"/>
      <c r="K239" s="53"/>
    </row>
    <row r="240" spans="1:11" x14ac:dyDescent="0.25">
      <c r="A240" s="178"/>
      <c r="B240" s="179"/>
      <c r="C240" s="183" t="s">
        <v>98</v>
      </c>
      <c r="D240" s="184"/>
      <c r="E240" s="185" t="s">
        <v>99</v>
      </c>
      <c r="F240" s="186"/>
      <c r="G240" s="183" t="s">
        <v>98</v>
      </c>
      <c r="H240" s="184"/>
      <c r="I240" s="185" t="s">
        <v>99</v>
      </c>
      <c r="J240" s="186"/>
      <c r="K240" s="53"/>
    </row>
    <row r="241" spans="1:11" x14ac:dyDescent="0.25">
      <c r="A241" s="178"/>
      <c r="B241" s="179"/>
      <c r="C241" s="58">
        <f ca="1">MATCH(OFFSET(Породы!C3,MATCH(Анализ!C14,Результаты!H23:H26,0),0),Графики!$B$1:$B$30,1)-IF(Анализ!R25=1,1,0)</f>
        <v>1</v>
      </c>
      <c r="D241" s="58">
        <v>0</v>
      </c>
      <c r="E241" s="58">
        <f ca="1">IF(Анализ!R25=1,C241,C241-3)</f>
        <v>1</v>
      </c>
      <c r="F241" s="91">
        <v>0</v>
      </c>
      <c r="G241" s="58">
        <f ca="1">MATCH(OFFSET(Породы!D3,MATCH(Анализ!C14,Результаты!H23:H26,0),0),Графики!$B$1:$B$30,1)-1</f>
        <v>16</v>
      </c>
      <c r="H241" s="58">
        <v>0</v>
      </c>
      <c r="I241" s="58">
        <f ca="1">IF(Анализ!R25=4,G241,IF(G241&gt;=23,G241,G241+3))</f>
        <v>19</v>
      </c>
      <c r="J241" s="91">
        <v>0</v>
      </c>
      <c r="K241" s="53"/>
    </row>
    <row r="242" spans="1:11" x14ac:dyDescent="0.25">
      <c r="A242" s="180"/>
      <c r="B242" s="181"/>
      <c r="C242" s="58">
        <f ca="1">C241</f>
        <v>1</v>
      </c>
      <c r="D242" s="58">
        <f>Графики!C35</f>
        <v>7</v>
      </c>
      <c r="E242" s="58">
        <f ca="1">E241</f>
        <v>1</v>
      </c>
      <c r="F242" s="91">
        <f>D242</f>
        <v>7</v>
      </c>
      <c r="G242" s="58">
        <f ca="1">G241</f>
        <v>16</v>
      </c>
      <c r="H242" s="58">
        <f>F242</f>
        <v>7</v>
      </c>
      <c r="I242" s="58">
        <f ca="1">I241</f>
        <v>19</v>
      </c>
      <c r="J242" s="91">
        <f>H242</f>
        <v>7</v>
      </c>
      <c r="K242" s="53"/>
    </row>
    <row r="243" spans="1:11" x14ac:dyDescent="0.25">
      <c r="A243" s="176" t="s">
        <v>103</v>
      </c>
      <c r="B243" s="177"/>
      <c r="C243" s="175" t="s">
        <v>25</v>
      </c>
      <c r="D243" s="175"/>
      <c r="E243" s="187"/>
      <c r="F243" s="187"/>
      <c r="G243" s="175" t="s">
        <v>27</v>
      </c>
      <c r="H243" s="175"/>
      <c r="I243" s="187"/>
      <c r="J243" s="187"/>
      <c r="K243" s="53"/>
    </row>
    <row r="244" spans="1:11" x14ac:dyDescent="0.25">
      <c r="A244" s="178"/>
      <c r="B244" s="179"/>
      <c r="C244" s="183" t="s">
        <v>98</v>
      </c>
      <c r="D244" s="184"/>
      <c r="E244" s="185" t="s">
        <v>99</v>
      </c>
      <c r="F244" s="186"/>
      <c r="G244" s="183" t="s">
        <v>98</v>
      </c>
      <c r="H244" s="184"/>
      <c r="I244" s="185" t="s">
        <v>99</v>
      </c>
      <c r="J244" s="186"/>
      <c r="K244" s="53"/>
    </row>
    <row r="245" spans="1:11" x14ac:dyDescent="0.25">
      <c r="A245" s="178"/>
      <c r="B245" s="179"/>
      <c r="C245" s="58">
        <f ca="1">MATCH(OFFSET(Породы!E3,MATCH(Анализ!C14,Результаты!H23:H26,0),0),Графики!$G$1:$G$30,1)-IF(Анализ!R25=1,1,0)</f>
        <v>1</v>
      </c>
      <c r="D245" s="58">
        <v>0</v>
      </c>
      <c r="E245" s="58">
        <f ca="1">IF(Анализ!R25=1,C245,C245-4)</f>
        <v>1</v>
      </c>
      <c r="F245" s="91">
        <v>0</v>
      </c>
      <c r="G245" s="58">
        <f ca="1">MATCH(OFFSET(Породы!E3,MATCH(Анализ!C14,Результаты!H23:H26,0),1),Графики!$G$1:$G$33,1)-1</f>
        <v>17</v>
      </c>
      <c r="H245" s="58">
        <v>0</v>
      </c>
      <c r="I245" s="58">
        <f ca="1">IF(Анализ!R25=4,G245,IF(G245&gt;=27,G245,G245+4))</f>
        <v>21</v>
      </c>
      <c r="J245" s="91">
        <v>0</v>
      </c>
      <c r="K245" s="53"/>
    </row>
    <row r="246" spans="1:11" x14ac:dyDescent="0.25">
      <c r="A246" s="180"/>
      <c r="B246" s="181"/>
      <c r="C246" s="58">
        <f ca="1">C245</f>
        <v>1</v>
      </c>
      <c r="D246" s="58">
        <f>Графики!H35</f>
        <v>6</v>
      </c>
      <c r="E246" s="58">
        <f ca="1">E245</f>
        <v>1</v>
      </c>
      <c r="F246" s="91">
        <f>D246</f>
        <v>6</v>
      </c>
      <c r="G246" s="58">
        <f ca="1">G245</f>
        <v>17</v>
      </c>
      <c r="H246" s="58">
        <f>F246</f>
        <v>6</v>
      </c>
      <c r="I246" s="58">
        <f ca="1">I245</f>
        <v>21</v>
      </c>
      <c r="J246" s="91">
        <f>H246</f>
        <v>6</v>
      </c>
      <c r="K246" s="53"/>
    </row>
    <row r="247" spans="1:11" x14ac:dyDescent="0.25">
      <c r="A247" s="176" t="s">
        <v>104</v>
      </c>
      <c r="B247" s="177"/>
      <c r="C247" s="175" t="s">
        <v>25</v>
      </c>
      <c r="D247" s="175"/>
      <c r="E247" s="187"/>
      <c r="F247" s="187"/>
      <c r="G247" s="175" t="s">
        <v>27</v>
      </c>
      <c r="H247" s="175"/>
      <c r="I247" s="187"/>
      <c r="J247" s="187"/>
      <c r="K247" s="53"/>
    </row>
    <row r="248" spans="1:11" x14ac:dyDescent="0.25">
      <c r="A248" s="178"/>
      <c r="B248" s="179"/>
      <c r="C248" s="183" t="s">
        <v>98</v>
      </c>
      <c r="D248" s="184"/>
      <c r="E248" s="185" t="s">
        <v>99</v>
      </c>
      <c r="F248" s="186"/>
      <c r="G248" s="183" t="s">
        <v>98</v>
      </c>
      <c r="H248" s="184"/>
      <c r="I248" s="185" t="s">
        <v>99</v>
      </c>
      <c r="J248" s="186"/>
      <c r="K248" s="53"/>
    </row>
    <row r="249" spans="1:11" x14ac:dyDescent="0.25">
      <c r="A249" s="178"/>
      <c r="B249" s="179"/>
      <c r="C249" s="58">
        <f ca="1">MATCH(OFFSET(Породы!G3,MATCH(Анализ!C14,Результаты!H23:H26,0),0),Графики!$D$1:$D$30,1)-IF(Анализ!R25=1,1,0)</f>
        <v>1</v>
      </c>
      <c r="D249" s="58">
        <v>0</v>
      </c>
      <c r="E249" s="58">
        <f ca="1">IF(Анализ!R25=1,C249,C249-4)</f>
        <v>1</v>
      </c>
      <c r="F249" s="91">
        <v>0</v>
      </c>
      <c r="G249" s="58">
        <f ca="1">MATCH(OFFSET(Породы!G3,MATCH(Анализ!C14,Результаты!H23:H26,0),1),Графики!$D$1:$D$33,1)-1</f>
        <v>16</v>
      </c>
      <c r="H249" s="58">
        <v>0</v>
      </c>
      <c r="I249" s="58">
        <f ca="1">IF(Анализ!R25=4,G249,IF(G249&gt;=28,G249,G249+4))</f>
        <v>20</v>
      </c>
      <c r="J249" s="91">
        <v>0</v>
      </c>
      <c r="K249" s="53"/>
    </row>
    <row r="250" spans="1:11" x14ac:dyDescent="0.25">
      <c r="A250" s="180"/>
      <c r="B250" s="181"/>
      <c r="C250" s="58">
        <f ca="1">C249</f>
        <v>1</v>
      </c>
      <c r="D250" s="58">
        <f>Графики!E35</f>
        <v>7</v>
      </c>
      <c r="E250" s="58">
        <f ca="1">E249</f>
        <v>1</v>
      </c>
      <c r="F250" s="91">
        <f>D250</f>
        <v>7</v>
      </c>
      <c r="G250" s="58">
        <f ca="1">G249</f>
        <v>16</v>
      </c>
      <c r="H250" s="58">
        <f>F250</f>
        <v>7</v>
      </c>
      <c r="I250" s="58">
        <f ca="1">I249</f>
        <v>20</v>
      </c>
      <c r="J250" s="91">
        <f>H250</f>
        <v>7</v>
      </c>
      <c r="K250" s="53"/>
    </row>
    <row r="251" spans="1:11" x14ac:dyDescent="0.25">
      <c r="A251" s="53"/>
      <c r="B251" s="53"/>
      <c r="C251" s="53"/>
      <c r="D251" s="53"/>
      <c r="E251" s="53"/>
      <c r="F251" s="53"/>
      <c r="G251" s="53"/>
      <c r="H251" s="53"/>
      <c r="I251" s="53"/>
      <c r="J251" s="53"/>
      <c r="K251" s="53"/>
    </row>
    <row r="252" spans="1:11" x14ac:dyDescent="0.25">
      <c r="A252" s="53"/>
      <c r="B252" s="53"/>
      <c r="C252" s="53">
        <f ca="1">MATCH(OFFSET(Породы!E3,MATCH(Анализ!C14,Результаты!H23:H26,0),0),Графики!$G$1:$G$30,1)</f>
        <v>2</v>
      </c>
      <c r="D252" s="53"/>
      <c r="E252" s="53"/>
      <c r="F252" s="53"/>
      <c r="G252" s="53"/>
      <c r="H252" s="53"/>
      <c r="I252" s="53"/>
      <c r="J252" s="53"/>
      <c r="K252" s="53"/>
    </row>
    <row r="253" spans="1:11" x14ac:dyDescent="0.25">
      <c r="A253" s="53"/>
      <c r="B253" s="53"/>
      <c r="C253" s="53"/>
      <c r="D253" s="53"/>
      <c r="E253" s="53"/>
      <c r="F253" s="53"/>
      <c r="G253" s="53"/>
      <c r="H253" s="53"/>
      <c r="I253" s="53"/>
      <c r="J253" s="53"/>
      <c r="K253" s="53"/>
    </row>
    <row r="254" spans="1:11" x14ac:dyDescent="0.25">
      <c r="A254" s="53"/>
      <c r="B254" s="53"/>
      <c r="C254" s="53"/>
      <c r="D254" s="53"/>
      <c r="E254" s="53"/>
      <c r="F254" s="53"/>
      <c r="G254" s="53"/>
      <c r="H254" s="53"/>
      <c r="I254" s="53"/>
      <c r="J254" s="53"/>
      <c r="K254" s="53"/>
    </row>
    <row r="255" spans="1:11" x14ac:dyDescent="0.25">
      <c r="A255" s="53"/>
      <c r="B255" s="53"/>
      <c r="C255" s="53"/>
      <c r="D255" s="53"/>
      <c r="E255" s="53"/>
      <c r="F255" s="53"/>
      <c r="G255" s="53"/>
      <c r="H255" s="53"/>
      <c r="I255" s="53"/>
      <c r="J255" s="53"/>
      <c r="K255" s="53"/>
    </row>
    <row r="256" spans="1:11" x14ac:dyDescent="0.25">
      <c r="A256" s="53"/>
      <c r="B256" s="53"/>
      <c r="C256" s="53"/>
      <c r="D256" s="53"/>
      <c r="E256" s="53"/>
      <c r="F256" s="53"/>
      <c r="G256" s="53"/>
      <c r="H256" s="53"/>
      <c r="I256" s="53"/>
      <c r="J256" s="53"/>
      <c r="K256" s="53"/>
    </row>
    <row r="257" spans="1:11" x14ac:dyDescent="0.25">
      <c r="A257" s="53"/>
      <c r="B257" s="53"/>
      <c r="C257" s="53"/>
      <c r="D257" s="53"/>
      <c r="E257" s="53"/>
      <c r="F257" s="53"/>
      <c r="G257" s="53"/>
      <c r="H257" s="53"/>
      <c r="I257" s="53"/>
      <c r="J257" s="53"/>
      <c r="K257" s="53"/>
    </row>
    <row r="258" spans="1:11" x14ac:dyDescent="0.25">
      <c r="A258" s="53"/>
      <c r="B258" s="53"/>
      <c r="C258" s="53"/>
      <c r="D258" s="53"/>
      <c r="E258" s="53"/>
      <c r="F258" s="53"/>
      <c r="G258" s="53"/>
      <c r="H258" s="53"/>
      <c r="I258" s="53"/>
      <c r="J258" s="53"/>
      <c r="K258" s="53"/>
    </row>
    <row r="259" spans="1:11" x14ac:dyDescent="0.25">
      <c r="A259" s="53"/>
      <c r="B259" s="53"/>
      <c r="C259" s="53"/>
      <c r="D259" s="53"/>
      <c r="E259" s="53"/>
      <c r="F259" s="53"/>
      <c r="G259" s="53"/>
      <c r="H259" s="53"/>
      <c r="I259" s="53"/>
      <c r="J259" s="53"/>
      <c r="K259" s="53"/>
    </row>
    <row r="260" spans="1:11" x14ac:dyDescent="0.25">
      <c r="A260" s="53"/>
      <c r="B260" s="53"/>
      <c r="C260" s="53"/>
      <c r="D260" s="53"/>
      <c r="E260" s="53"/>
      <c r="F260" s="53"/>
      <c r="G260" s="53"/>
      <c r="H260" s="53"/>
      <c r="I260" s="53"/>
      <c r="J260" s="53"/>
      <c r="K260" s="53"/>
    </row>
    <row r="261" spans="1:11" x14ac:dyDescent="0.25">
      <c r="A261" s="53"/>
      <c r="B261" s="53"/>
      <c r="C261" s="53"/>
      <c r="D261" s="53"/>
      <c r="E261" s="53"/>
      <c r="F261" s="53"/>
      <c r="G261" s="53"/>
      <c r="H261" s="53"/>
      <c r="I261" s="53"/>
      <c r="J261" s="53"/>
      <c r="K261" s="53"/>
    </row>
    <row r="262" spans="1:11" x14ac:dyDescent="0.25">
      <c r="A262" s="53"/>
      <c r="B262" s="53"/>
      <c r="C262" s="53"/>
      <c r="D262" s="53"/>
      <c r="E262" s="53"/>
      <c r="F262" s="53"/>
      <c r="G262" s="53"/>
      <c r="H262" s="53"/>
      <c r="I262" s="53"/>
      <c r="J262" s="53"/>
      <c r="K262" s="53"/>
    </row>
    <row r="263" spans="1:11" x14ac:dyDescent="0.25">
      <c r="A263" s="53"/>
      <c r="B263" s="53"/>
      <c r="C263" s="53"/>
      <c r="D263" s="53"/>
      <c r="E263" s="53"/>
      <c r="F263" s="53"/>
      <c r="G263" s="53"/>
      <c r="H263" s="53"/>
      <c r="I263" s="53"/>
      <c r="J263" s="53"/>
      <c r="K263" s="53"/>
    </row>
  </sheetData>
  <sheetProtection password="C1AF" sheet="1" objects="1" scenarios="1"/>
  <mergeCells count="51">
    <mergeCell ref="A243:B246"/>
    <mergeCell ref="C243:F243"/>
    <mergeCell ref="G243:J243"/>
    <mergeCell ref="C244:D244"/>
    <mergeCell ref="E244:F244"/>
    <mergeCell ref="G244:H244"/>
    <mergeCell ref="I244:J244"/>
    <mergeCell ref="A247:B250"/>
    <mergeCell ref="C247:F247"/>
    <mergeCell ref="G247:J247"/>
    <mergeCell ref="C248:D248"/>
    <mergeCell ref="E248:F248"/>
    <mergeCell ref="G248:H248"/>
    <mergeCell ref="I248:J248"/>
    <mergeCell ref="O1:P1"/>
    <mergeCell ref="G208:H208"/>
    <mergeCell ref="B213:B214"/>
    <mergeCell ref="K1:L1"/>
    <mergeCell ref="I1:J1"/>
    <mergeCell ref="I208:J208"/>
    <mergeCell ref="A1:B1"/>
    <mergeCell ref="C1:D1"/>
    <mergeCell ref="C208:D208"/>
    <mergeCell ref="E208:F208"/>
    <mergeCell ref="A208:A218"/>
    <mergeCell ref="B217:B218"/>
    <mergeCell ref="A219:A228"/>
    <mergeCell ref="B219:B220"/>
    <mergeCell ref="B223:B224"/>
    <mergeCell ref="B227:B228"/>
    <mergeCell ref="M1:N1"/>
    <mergeCell ref="B215:B216"/>
    <mergeCell ref="E1:F1"/>
    <mergeCell ref="G1:H1"/>
    <mergeCell ref="B208:B210"/>
    <mergeCell ref="B211:B212"/>
    <mergeCell ref="B225:B226"/>
    <mergeCell ref="B221:B222"/>
    <mergeCell ref="G240:H240"/>
    <mergeCell ref="I240:J240"/>
    <mergeCell ref="C239:F239"/>
    <mergeCell ref="C240:D240"/>
    <mergeCell ref="E240:F240"/>
    <mergeCell ref="G239:J239"/>
    <mergeCell ref="B237:B238"/>
    <mergeCell ref="A239:B242"/>
    <mergeCell ref="A229:A238"/>
    <mergeCell ref="B235:B236"/>
    <mergeCell ref="B229:B230"/>
    <mergeCell ref="B231:B232"/>
    <mergeCell ref="B233:B234"/>
  </mergeCells>
  <phoneticPr fontId="6" type="noConversion"/>
  <conditionalFormatting sqref="A106:A204 E105:H204">
    <cfRule type="cellIs" dxfId="26" priority="1" stopIfTrue="1" operator="equal">
      <formula>0</formula>
    </cfRule>
  </conditionalFormatting>
  <conditionalFormatting sqref="B105:D204">
    <cfRule type="cellIs" dxfId="25" priority="2" stopIfTrue="1" operator="equal">
      <formula>0</formula>
    </cfRule>
  </conditionalFormatting>
  <pageMargins left="0.56000000000000005" right="0.63" top="0.55000000000000004" bottom="0.51" header="0.5" footer="0.5"/>
  <pageSetup paperSize="9" scale="64" fitToHeight="4" orientation="landscape"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indexed="9"/>
    <pageSetUpPr fitToPage="1"/>
  </sheetPr>
  <dimension ref="A1:K110"/>
  <sheetViews>
    <sheetView showGridLines="0" zoomScale="80" zoomScaleNormal="80" workbookViewId="0">
      <selection activeCell="A2" sqref="A2:D101"/>
    </sheetView>
  </sheetViews>
  <sheetFormatPr defaultRowHeight="13.2" x14ac:dyDescent="0.25"/>
  <cols>
    <col min="5" max="5" width="6.77734375" style="28" customWidth="1"/>
    <col min="8" max="8" width="14.33203125" customWidth="1"/>
    <col min="9" max="9" width="49.33203125" customWidth="1"/>
  </cols>
  <sheetData>
    <row r="1" spans="1:10" ht="13.05" customHeight="1" x14ac:dyDescent="0.25">
      <c r="A1" s="142" t="s">
        <v>13</v>
      </c>
      <c r="B1" s="143" t="s">
        <v>0</v>
      </c>
      <c r="C1" s="143" t="s">
        <v>1</v>
      </c>
      <c r="D1" s="143" t="s">
        <v>2</v>
      </c>
      <c r="E1" s="144" t="s">
        <v>66</v>
      </c>
      <c r="F1" s="193" t="s">
        <v>140</v>
      </c>
      <c r="G1" s="194"/>
      <c r="H1" s="194"/>
      <c r="I1" s="194"/>
      <c r="J1" s="195"/>
    </row>
    <row r="2" spans="1:10" ht="12.45" customHeight="1" x14ac:dyDescent="0.25">
      <c r="A2" s="145">
        <v>1</v>
      </c>
      <c r="B2" s="4">
        <v>1.5282767625015314</v>
      </c>
      <c r="C2" s="4">
        <v>-6.0972685603672714</v>
      </c>
      <c r="D2" s="4">
        <v>0.75126183776853661</v>
      </c>
      <c r="E2" s="146">
        <f>IF(A2&gt;0,1/B2*(0.0381*B2+0.9982),"")</f>
        <v>0.69125394730344181</v>
      </c>
      <c r="F2" s="196"/>
      <c r="G2" s="197"/>
      <c r="H2" s="197"/>
      <c r="I2" s="197"/>
      <c r="J2" s="198"/>
    </row>
    <row r="3" spans="1:10" ht="12.45" customHeight="1" x14ac:dyDescent="0.25">
      <c r="A3" s="145">
        <v>2</v>
      </c>
      <c r="B3" s="4">
        <v>1.9164555202344393</v>
      </c>
      <c r="C3" s="4">
        <v>-4.5918000285289304</v>
      </c>
      <c r="D3" s="4">
        <v>0.76455909290929758</v>
      </c>
      <c r="E3" s="146">
        <f t="shared" ref="E3:E66" si="0">IF(A3&gt;0,1/B3*(0.0381*B3+0.9982),"")</f>
        <v>0.55895737939688284</v>
      </c>
      <c r="F3" s="196"/>
      <c r="G3" s="197"/>
      <c r="H3" s="197"/>
      <c r="I3" s="197"/>
      <c r="J3" s="198"/>
    </row>
    <row r="4" spans="1:10" ht="12.45" customHeight="1" x14ac:dyDescent="0.25">
      <c r="A4" s="145">
        <v>3</v>
      </c>
      <c r="B4" s="4">
        <v>1.6440810344746601</v>
      </c>
      <c r="C4" s="4">
        <v>-5.3578309042592949</v>
      </c>
      <c r="D4" s="4">
        <v>0.79374193977580476</v>
      </c>
      <c r="E4" s="146">
        <f t="shared" si="0"/>
        <v>0.64524768862896031</v>
      </c>
      <c r="F4" s="196"/>
      <c r="G4" s="197"/>
      <c r="H4" s="197"/>
      <c r="I4" s="197"/>
      <c r="J4" s="198"/>
    </row>
    <row r="5" spans="1:10" ht="12.45" customHeight="1" x14ac:dyDescent="0.25">
      <c r="A5" s="145">
        <v>4</v>
      </c>
      <c r="B5" s="4">
        <v>1.9920147757720568</v>
      </c>
      <c r="C5" s="4">
        <v>-4.5662338573358321</v>
      </c>
      <c r="D5" s="4">
        <v>0.78752269410526632</v>
      </c>
      <c r="E5" s="146">
        <f t="shared" si="0"/>
        <v>0.53920070072804649</v>
      </c>
      <c r="F5" s="196"/>
      <c r="G5" s="197"/>
      <c r="H5" s="197"/>
      <c r="I5" s="197"/>
      <c r="J5" s="198"/>
    </row>
    <row r="6" spans="1:10" ht="12.45" customHeight="1" x14ac:dyDescent="0.25">
      <c r="A6" s="145">
        <v>5</v>
      </c>
      <c r="B6" s="4">
        <v>1.4109272143878087</v>
      </c>
      <c r="C6" s="4">
        <v>-6.7662494691723944</v>
      </c>
      <c r="D6" s="4">
        <v>0.69248655536243242</v>
      </c>
      <c r="E6" s="146">
        <f t="shared" si="0"/>
        <v>0.7455780256705955</v>
      </c>
      <c r="F6" s="196"/>
      <c r="G6" s="197"/>
      <c r="H6" s="197"/>
      <c r="I6" s="197"/>
      <c r="J6" s="198"/>
    </row>
    <row r="7" spans="1:10" ht="12.45" customHeight="1" x14ac:dyDescent="0.25">
      <c r="A7" s="145">
        <v>6</v>
      </c>
      <c r="B7" s="4">
        <v>1.5483148380786116</v>
      </c>
      <c r="C7" s="4">
        <v>-3.5362210490716239</v>
      </c>
      <c r="D7" s="4">
        <v>0.79753126125719653</v>
      </c>
      <c r="E7" s="146">
        <f t="shared" si="0"/>
        <v>0.68280091963900624</v>
      </c>
      <c r="F7" s="196"/>
      <c r="G7" s="197"/>
      <c r="H7" s="197"/>
      <c r="I7" s="197"/>
      <c r="J7" s="198"/>
    </row>
    <row r="8" spans="1:10" ht="12.45" customHeight="1" x14ac:dyDescent="0.25">
      <c r="A8" s="145">
        <v>7</v>
      </c>
      <c r="B8" s="4">
        <v>1.663250547532251</v>
      </c>
      <c r="C8" s="4">
        <v>-7.5607166044152434</v>
      </c>
      <c r="D8" s="4">
        <v>0.76355889681606737</v>
      </c>
      <c r="E8" s="146">
        <f t="shared" si="0"/>
        <v>0.63825011056573522</v>
      </c>
      <c r="F8" s="196"/>
      <c r="G8" s="197"/>
      <c r="H8" s="197"/>
      <c r="I8" s="197"/>
      <c r="J8" s="198"/>
    </row>
    <row r="9" spans="1:10" ht="12.45" customHeight="1" x14ac:dyDescent="0.25">
      <c r="A9" s="145">
        <v>8</v>
      </c>
      <c r="B9" s="4">
        <v>1.6113729101070193</v>
      </c>
      <c r="C9" s="4">
        <v>-5.1130694092178013</v>
      </c>
      <c r="D9" s="4">
        <v>0.79825071663242375</v>
      </c>
      <c r="E9" s="146">
        <f t="shared" si="0"/>
        <v>0.65757175215556074</v>
      </c>
      <c r="F9" s="196"/>
      <c r="G9" s="197"/>
      <c r="H9" s="197"/>
      <c r="I9" s="197"/>
      <c r="J9" s="198"/>
    </row>
    <row r="10" spans="1:10" ht="12.45" customHeight="1" x14ac:dyDescent="0.25">
      <c r="A10" s="145">
        <v>9</v>
      </c>
      <c r="B10" s="4">
        <v>1.3612874354651794</v>
      </c>
      <c r="C10" s="4">
        <v>-4.9647254738924893</v>
      </c>
      <c r="D10" s="4">
        <v>0.74317772191581455</v>
      </c>
      <c r="E10" s="146">
        <f t="shared" si="0"/>
        <v>0.77137643669824574</v>
      </c>
      <c r="F10" s="196"/>
      <c r="G10" s="197"/>
      <c r="H10" s="197"/>
      <c r="I10" s="197"/>
      <c r="J10" s="198"/>
    </row>
    <row r="11" spans="1:10" ht="12.45" customHeight="1" x14ac:dyDescent="0.25">
      <c r="A11" s="145">
        <v>10</v>
      </c>
      <c r="B11" s="4">
        <v>1.5079561080918844</v>
      </c>
      <c r="C11" s="4">
        <v>-7.0644883472284175</v>
      </c>
      <c r="D11" s="4">
        <v>0.69820645691262306</v>
      </c>
      <c r="E11" s="146">
        <f t="shared" si="0"/>
        <v>0.70005560642881559</v>
      </c>
      <c r="F11" s="196"/>
      <c r="G11" s="197"/>
      <c r="H11" s="197"/>
      <c r="I11" s="197"/>
      <c r="J11" s="198"/>
    </row>
    <row r="12" spans="1:10" ht="12.45" customHeight="1" x14ac:dyDescent="0.25">
      <c r="A12" s="145">
        <v>11</v>
      </c>
      <c r="B12" s="4">
        <v>1.5252636058549101</v>
      </c>
      <c r="C12" s="4">
        <v>-4.6863161785884637</v>
      </c>
      <c r="D12" s="4">
        <v>0.71058773995579638</v>
      </c>
      <c r="E12" s="146">
        <f t="shared" si="0"/>
        <v>0.69254425223829352</v>
      </c>
      <c r="F12" s="196"/>
      <c r="G12" s="197"/>
      <c r="H12" s="197"/>
      <c r="I12" s="197"/>
      <c r="J12" s="198"/>
    </row>
    <row r="13" spans="1:10" ht="12.45" customHeight="1" x14ac:dyDescent="0.25">
      <c r="A13" s="145">
        <v>12</v>
      </c>
      <c r="B13" s="4">
        <v>1.3078050972936459</v>
      </c>
      <c r="C13" s="4">
        <v>-4.6137907530132942</v>
      </c>
      <c r="D13" s="4">
        <v>0.72175546395700618</v>
      </c>
      <c r="E13" s="146">
        <f t="shared" si="0"/>
        <v>0.80136357961569471</v>
      </c>
      <c r="F13" s="196"/>
      <c r="G13" s="197"/>
      <c r="H13" s="197"/>
      <c r="I13" s="197"/>
      <c r="J13" s="198"/>
    </row>
    <row r="14" spans="1:10" ht="12.45" customHeight="1" x14ac:dyDescent="0.25">
      <c r="A14" s="145">
        <v>13</v>
      </c>
      <c r="B14" s="4">
        <v>1.5893902422370587</v>
      </c>
      <c r="C14" s="4">
        <v>-3.5402492600072959</v>
      </c>
      <c r="D14" s="4">
        <v>0.79523232204098837</v>
      </c>
      <c r="E14" s="146">
        <f t="shared" si="0"/>
        <v>0.66613959246348375</v>
      </c>
      <c r="F14" s="196"/>
      <c r="G14" s="197"/>
      <c r="H14" s="197"/>
      <c r="I14" s="197"/>
      <c r="J14" s="198"/>
    </row>
    <row r="15" spans="1:10" ht="12.45" customHeight="1" x14ac:dyDescent="0.25">
      <c r="A15" s="145">
        <v>0</v>
      </c>
      <c r="B15" s="4" t="b">
        <v>0</v>
      </c>
      <c r="C15" s="4" t="b">
        <v>0</v>
      </c>
      <c r="D15" s="4" t="b">
        <v>0</v>
      </c>
      <c r="E15" s="146" t="str">
        <f t="shared" si="0"/>
        <v/>
      </c>
      <c r="F15" s="196"/>
      <c r="G15" s="197"/>
      <c r="H15" s="197"/>
      <c r="I15" s="197"/>
      <c r="J15" s="198"/>
    </row>
    <row r="16" spans="1:10" ht="12.45" customHeight="1" x14ac:dyDescent="0.25">
      <c r="A16" s="145">
        <v>0</v>
      </c>
      <c r="B16" s="4" t="b">
        <v>0</v>
      </c>
      <c r="C16" s="4" t="b">
        <v>0</v>
      </c>
      <c r="D16" s="4" t="b">
        <v>0</v>
      </c>
      <c r="E16" s="146" t="str">
        <f t="shared" si="0"/>
        <v/>
      </c>
      <c r="F16" s="196"/>
      <c r="G16" s="197"/>
      <c r="H16" s="197"/>
      <c r="I16" s="197"/>
      <c r="J16" s="198"/>
    </row>
    <row r="17" spans="1:10" ht="12.45" customHeight="1" x14ac:dyDescent="0.25">
      <c r="A17" s="145">
        <v>0</v>
      </c>
      <c r="B17" s="4" t="b">
        <v>0</v>
      </c>
      <c r="C17" s="4" t="b">
        <v>0</v>
      </c>
      <c r="D17" s="4" t="b">
        <v>0</v>
      </c>
      <c r="E17" s="146" t="str">
        <f t="shared" si="0"/>
        <v/>
      </c>
      <c r="F17" s="196"/>
      <c r="G17" s="197"/>
      <c r="H17" s="197"/>
      <c r="I17" s="197"/>
      <c r="J17" s="198"/>
    </row>
    <row r="18" spans="1:10" ht="12.45" customHeight="1" x14ac:dyDescent="0.25">
      <c r="A18" s="145">
        <v>0</v>
      </c>
      <c r="B18" s="4" t="b">
        <v>0</v>
      </c>
      <c r="C18" s="4" t="b">
        <v>0</v>
      </c>
      <c r="D18" s="4" t="b">
        <v>0</v>
      </c>
      <c r="E18" s="146" t="str">
        <f t="shared" si="0"/>
        <v/>
      </c>
      <c r="F18" s="196"/>
      <c r="G18" s="197"/>
      <c r="H18" s="197"/>
      <c r="I18" s="197"/>
      <c r="J18" s="198"/>
    </row>
    <row r="19" spans="1:10" ht="12.45" customHeight="1" x14ac:dyDescent="0.25">
      <c r="A19" s="145">
        <v>0</v>
      </c>
      <c r="B19" s="4" t="b">
        <v>0</v>
      </c>
      <c r="C19" s="4" t="b">
        <v>0</v>
      </c>
      <c r="D19" s="4" t="b">
        <v>0</v>
      </c>
      <c r="E19" s="146" t="str">
        <f t="shared" si="0"/>
        <v/>
      </c>
      <c r="F19" s="196"/>
      <c r="G19" s="197"/>
      <c r="H19" s="197"/>
      <c r="I19" s="197"/>
      <c r="J19" s="198"/>
    </row>
    <row r="20" spans="1:10" ht="12.45" customHeight="1" x14ac:dyDescent="0.25">
      <c r="A20" s="145">
        <v>0</v>
      </c>
      <c r="B20" s="4" t="b">
        <v>0</v>
      </c>
      <c r="C20" s="4" t="b">
        <v>0</v>
      </c>
      <c r="D20" s="4" t="b">
        <v>0</v>
      </c>
      <c r="E20" s="146" t="str">
        <f t="shared" si="0"/>
        <v/>
      </c>
      <c r="F20" s="196"/>
      <c r="G20" s="197"/>
      <c r="H20" s="197"/>
      <c r="I20" s="197"/>
      <c r="J20" s="198"/>
    </row>
    <row r="21" spans="1:10" ht="12.45" customHeight="1" x14ac:dyDescent="0.25">
      <c r="A21" s="145">
        <v>0</v>
      </c>
      <c r="B21" s="4" t="b">
        <v>0</v>
      </c>
      <c r="C21" s="4" t="b">
        <v>0</v>
      </c>
      <c r="D21" s="4" t="b">
        <v>0</v>
      </c>
      <c r="E21" s="146" t="str">
        <f t="shared" si="0"/>
        <v/>
      </c>
      <c r="F21" s="196"/>
      <c r="G21" s="197"/>
      <c r="H21" s="197"/>
      <c r="I21" s="197"/>
      <c r="J21" s="198"/>
    </row>
    <row r="22" spans="1:10" ht="12.45" customHeight="1" x14ac:dyDescent="0.25">
      <c r="A22" s="145">
        <v>0</v>
      </c>
      <c r="B22" s="4" t="b">
        <v>0</v>
      </c>
      <c r="C22" s="4" t="b">
        <v>0</v>
      </c>
      <c r="D22" s="4" t="b">
        <v>0</v>
      </c>
      <c r="E22" s="146" t="str">
        <f t="shared" si="0"/>
        <v/>
      </c>
      <c r="F22" s="196"/>
      <c r="G22" s="197"/>
      <c r="H22" s="197"/>
      <c r="I22" s="197"/>
      <c r="J22" s="198"/>
    </row>
    <row r="23" spans="1:10" ht="12.45" customHeight="1" x14ac:dyDescent="0.25">
      <c r="A23" s="145">
        <v>0</v>
      </c>
      <c r="B23" s="4" t="b">
        <v>0</v>
      </c>
      <c r="C23" s="4" t="b">
        <v>0</v>
      </c>
      <c r="D23" s="4" t="b">
        <v>0</v>
      </c>
      <c r="E23" s="146" t="str">
        <f t="shared" si="0"/>
        <v/>
      </c>
      <c r="F23" s="196"/>
      <c r="G23" s="197"/>
      <c r="H23" s="197"/>
      <c r="I23" s="197"/>
      <c r="J23" s="198"/>
    </row>
    <row r="24" spans="1:10" ht="12.45" customHeight="1" x14ac:dyDescent="0.25">
      <c r="A24" s="145">
        <v>0</v>
      </c>
      <c r="B24" s="4" t="b">
        <v>0</v>
      </c>
      <c r="C24" s="4" t="b">
        <v>0</v>
      </c>
      <c r="D24" s="4" t="b">
        <v>0</v>
      </c>
      <c r="E24" s="146" t="str">
        <f t="shared" si="0"/>
        <v/>
      </c>
      <c r="F24" s="199"/>
      <c r="G24" s="200"/>
      <c r="H24" s="200"/>
      <c r="I24" s="200"/>
      <c r="J24" s="201"/>
    </row>
    <row r="25" spans="1:10" ht="12.45" customHeight="1" x14ac:dyDescent="0.25">
      <c r="A25" s="145">
        <v>0</v>
      </c>
      <c r="B25" s="4" t="b">
        <v>0</v>
      </c>
      <c r="C25" s="4" t="b">
        <v>0</v>
      </c>
      <c r="D25" s="4" t="b">
        <v>0</v>
      </c>
      <c r="E25" s="146" t="str">
        <f t="shared" si="0"/>
        <v/>
      </c>
      <c r="F25" s="199"/>
      <c r="G25" s="200"/>
      <c r="H25" s="200"/>
      <c r="I25" s="200"/>
      <c r="J25" s="201"/>
    </row>
    <row r="26" spans="1:10" ht="12.45" customHeight="1" x14ac:dyDescent="0.25">
      <c r="A26" s="145">
        <v>0</v>
      </c>
      <c r="B26" s="4" t="b">
        <v>0</v>
      </c>
      <c r="C26" s="4" t="b">
        <v>0</v>
      </c>
      <c r="D26" s="4" t="b">
        <v>0</v>
      </c>
      <c r="E26" s="146" t="str">
        <f t="shared" si="0"/>
        <v/>
      </c>
      <c r="F26" s="199"/>
      <c r="G26" s="200"/>
      <c r="H26" s="200"/>
      <c r="I26" s="200"/>
      <c r="J26" s="201"/>
    </row>
    <row r="27" spans="1:10" ht="12.45" customHeight="1" thickBot="1" x14ac:dyDescent="0.3">
      <c r="A27" s="145">
        <v>0</v>
      </c>
      <c r="B27" s="4" t="b">
        <v>0</v>
      </c>
      <c r="C27" s="4" t="b">
        <v>0</v>
      </c>
      <c r="D27" s="4" t="b">
        <v>0</v>
      </c>
      <c r="E27" s="146" t="str">
        <f t="shared" si="0"/>
        <v/>
      </c>
      <c r="F27" s="202"/>
      <c r="G27" s="203"/>
      <c r="H27" s="203"/>
      <c r="I27" s="203"/>
      <c r="J27" s="204"/>
    </row>
    <row r="28" spans="1:10" ht="12.45" customHeight="1" x14ac:dyDescent="0.25">
      <c r="A28" s="145">
        <v>0</v>
      </c>
      <c r="B28" s="4" t="b">
        <v>0</v>
      </c>
      <c r="C28" s="4" t="b">
        <v>0</v>
      </c>
      <c r="D28" s="4" t="b">
        <v>0</v>
      </c>
      <c r="E28" s="146" t="str">
        <f t="shared" si="0"/>
        <v/>
      </c>
      <c r="F28" s="11"/>
      <c r="G28" s="11"/>
      <c r="H28" s="11"/>
      <c r="I28" s="11"/>
    </row>
    <row r="29" spans="1:10" ht="13.05" customHeight="1" x14ac:dyDescent="0.25">
      <c r="A29" s="145">
        <v>0</v>
      </c>
      <c r="B29" s="4" t="b">
        <v>0</v>
      </c>
      <c r="C29" s="4" t="b">
        <v>0</v>
      </c>
      <c r="D29" s="4" t="b">
        <v>0</v>
      </c>
      <c r="E29" s="146" t="str">
        <f t="shared" si="0"/>
        <v/>
      </c>
      <c r="F29" s="11"/>
      <c r="G29" s="11"/>
      <c r="H29" s="11"/>
      <c r="I29" s="11"/>
    </row>
    <row r="30" spans="1:10" x14ac:dyDescent="0.25">
      <c r="A30" s="145">
        <v>0</v>
      </c>
      <c r="B30" s="4" t="b">
        <v>0</v>
      </c>
      <c r="C30" s="4" t="b">
        <v>0</v>
      </c>
      <c r="D30" s="4" t="b">
        <v>0</v>
      </c>
      <c r="E30" s="146" t="str">
        <f t="shared" si="0"/>
        <v/>
      </c>
    </row>
    <row r="31" spans="1:10" x14ac:dyDescent="0.25">
      <c r="A31" s="145">
        <v>0</v>
      </c>
      <c r="B31" s="4" t="b">
        <v>0</v>
      </c>
      <c r="C31" s="4" t="b">
        <v>0</v>
      </c>
      <c r="D31" s="4" t="b">
        <v>0</v>
      </c>
      <c r="E31" s="146" t="str">
        <f t="shared" si="0"/>
        <v/>
      </c>
    </row>
    <row r="32" spans="1:10" x14ac:dyDescent="0.25">
      <c r="A32" s="145">
        <v>0</v>
      </c>
      <c r="B32" s="4" t="b">
        <v>0</v>
      </c>
      <c r="C32" s="4" t="b">
        <v>0</v>
      </c>
      <c r="D32" s="4" t="b">
        <v>0</v>
      </c>
      <c r="E32" s="146" t="str">
        <f t="shared" si="0"/>
        <v/>
      </c>
    </row>
    <row r="33" spans="1:5" x14ac:dyDescent="0.25">
      <c r="A33" s="145">
        <v>0</v>
      </c>
      <c r="B33" s="4" t="b">
        <v>0</v>
      </c>
      <c r="C33" s="4" t="b">
        <v>0</v>
      </c>
      <c r="D33" s="4" t="b">
        <v>0</v>
      </c>
      <c r="E33" s="146" t="str">
        <f t="shared" si="0"/>
        <v/>
      </c>
    </row>
    <row r="34" spans="1:5" x14ac:dyDescent="0.25">
      <c r="A34" s="145">
        <v>0</v>
      </c>
      <c r="B34" s="4" t="b">
        <v>0</v>
      </c>
      <c r="C34" s="4" t="b">
        <v>0</v>
      </c>
      <c r="D34" s="4" t="b">
        <v>0</v>
      </c>
      <c r="E34" s="146" t="str">
        <f t="shared" si="0"/>
        <v/>
      </c>
    </row>
    <row r="35" spans="1:5" x14ac:dyDescent="0.25">
      <c r="A35" s="145">
        <v>0</v>
      </c>
      <c r="B35" s="4" t="b">
        <v>0</v>
      </c>
      <c r="C35" s="4" t="b">
        <v>0</v>
      </c>
      <c r="D35" s="4" t="b">
        <v>0</v>
      </c>
      <c r="E35" s="146" t="str">
        <f t="shared" si="0"/>
        <v/>
      </c>
    </row>
    <row r="36" spans="1:5" x14ac:dyDescent="0.25">
      <c r="A36" s="145">
        <v>0</v>
      </c>
      <c r="B36" s="4" t="b">
        <v>0</v>
      </c>
      <c r="C36" s="4" t="b">
        <v>0</v>
      </c>
      <c r="D36" s="4" t="b">
        <v>0</v>
      </c>
      <c r="E36" s="146" t="str">
        <f t="shared" si="0"/>
        <v/>
      </c>
    </row>
    <row r="37" spans="1:5" x14ac:dyDescent="0.25">
      <c r="A37" s="145">
        <v>0</v>
      </c>
      <c r="B37" s="4" t="b">
        <v>0</v>
      </c>
      <c r="C37" s="4" t="b">
        <v>0</v>
      </c>
      <c r="D37" s="4" t="b">
        <v>0</v>
      </c>
      <c r="E37" s="146" t="str">
        <f t="shared" si="0"/>
        <v/>
      </c>
    </row>
    <row r="38" spans="1:5" x14ac:dyDescent="0.25">
      <c r="A38" s="145">
        <v>0</v>
      </c>
      <c r="B38" s="4" t="b">
        <v>0</v>
      </c>
      <c r="C38" s="4" t="b">
        <v>0</v>
      </c>
      <c r="D38" s="4" t="b">
        <v>0</v>
      </c>
      <c r="E38" s="146" t="str">
        <f t="shared" si="0"/>
        <v/>
      </c>
    </row>
    <row r="39" spans="1:5" x14ac:dyDescent="0.25">
      <c r="A39" s="145">
        <v>0</v>
      </c>
      <c r="B39" s="4" t="b">
        <v>0</v>
      </c>
      <c r="C39" s="4" t="b">
        <v>0</v>
      </c>
      <c r="D39" s="4" t="b">
        <v>0</v>
      </c>
      <c r="E39" s="146" t="str">
        <f t="shared" si="0"/>
        <v/>
      </c>
    </row>
    <row r="40" spans="1:5" x14ac:dyDescent="0.25">
      <c r="A40" s="145">
        <v>0</v>
      </c>
      <c r="B40" s="4" t="b">
        <v>0</v>
      </c>
      <c r="C40" s="4" t="b">
        <v>0</v>
      </c>
      <c r="D40" s="4" t="b">
        <v>0</v>
      </c>
      <c r="E40" s="146" t="str">
        <f t="shared" si="0"/>
        <v/>
      </c>
    </row>
    <row r="41" spans="1:5" x14ac:dyDescent="0.25">
      <c r="A41" s="145">
        <v>0</v>
      </c>
      <c r="B41" s="4" t="b">
        <v>0</v>
      </c>
      <c r="C41" s="4" t="b">
        <v>0</v>
      </c>
      <c r="D41" s="4" t="b">
        <v>0</v>
      </c>
      <c r="E41" s="146" t="str">
        <f t="shared" si="0"/>
        <v/>
      </c>
    </row>
    <row r="42" spans="1:5" x14ac:dyDescent="0.25">
      <c r="A42" s="145">
        <v>0</v>
      </c>
      <c r="B42" s="4" t="b">
        <v>0</v>
      </c>
      <c r="C42" s="4" t="b">
        <v>0</v>
      </c>
      <c r="D42" s="4" t="b">
        <v>0</v>
      </c>
      <c r="E42" s="146" t="str">
        <f t="shared" si="0"/>
        <v/>
      </c>
    </row>
    <row r="43" spans="1:5" x14ac:dyDescent="0.25">
      <c r="A43" s="145">
        <v>0</v>
      </c>
      <c r="B43" s="4" t="b">
        <v>0</v>
      </c>
      <c r="C43" s="4" t="b">
        <v>0</v>
      </c>
      <c r="D43" s="4" t="b">
        <v>0</v>
      </c>
      <c r="E43" s="146" t="str">
        <f t="shared" si="0"/>
        <v/>
      </c>
    </row>
    <row r="44" spans="1:5" x14ac:dyDescent="0.25">
      <c r="A44" s="145">
        <v>0</v>
      </c>
      <c r="B44" s="4" t="b">
        <v>0</v>
      </c>
      <c r="C44" s="4" t="b">
        <v>0</v>
      </c>
      <c r="D44" s="4" t="b">
        <v>0</v>
      </c>
      <c r="E44" s="146" t="str">
        <f t="shared" si="0"/>
        <v/>
      </c>
    </row>
    <row r="45" spans="1:5" x14ac:dyDescent="0.25">
      <c r="A45" s="145">
        <v>0</v>
      </c>
      <c r="B45" s="4" t="b">
        <v>0</v>
      </c>
      <c r="C45" s="4" t="b">
        <v>0</v>
      </c>
      <c r="D45" s="4" t="b">
        <v>0</v>
      </c>
      <c r="E45" s="146" t="str">
        <f t="shared" si="0"/>
        <v/>
      </c>
    </row>
    <row r="46" spans="1:5" x14ac:dyDescent="0.25">
      <c r="A46" s="145">
        <v>0</v>
      </c>
      <c r="B46" s="4" t="b">
        <v>0</v>
      </c>
      <c r="C46" s="4" t="b">
        <v>0</v>
      </c>
      <c r="D46" s="4" t="b">
        <v>0</v>
      </c>
      <c r="E46" s="146" t="str">
        <f t="shared" si="0"/>
        <v/>
      </c>
    </row>
    <row r="47" spans="1:5" x14ac:dyDescent="0.25">
      <c r="A47" s="145">
        <v>0</v>
      </c>
      <c r="B47" s="4" t="b">
        <v>0</v>
      </c>
      <c r="C47" s="4" t="b">
        <v>0</v>
      </c>
      <c r="D47" s="4" t="b">
        <v>0</v>
      </c>
      <c r="E47" s="146" t="str">
        <f t="shared" si="0"/>
        <v/>
      </c>
    </row>
    <row r="48" spans="1:5" x14ac:dyDescent="0.25">
      <c r="A48" s="145">
        <v>0</v>
      </c>
      <c r="B48" s="4" t="b">
        <v>0</v>
      </c>
      <c r="C48" s="4" t="b">
        <v>0</v>
      </c>
      <c r="D48" s="4" t="b">
        <v>0</v>
      </c>
      <c r="E48" s="146" t="str">
        <f t="shared" si="0"/>
        <v/>
      </c>
    </row>
    <row r="49" spans="1:5" x14ac:dyDescent="0.25">
      <c r="A49" s="145">
        <v>0</v>
      </c>
      <c r="B49" s="4" t="b">
        <v>0</v>
      </c>
      <c r="C49" s="4" t="b">
        <v>0</v>
      </c>
      <c r="D49" s="4" t="b">
        <v>0</v>
      </c>
      <c r="E49" s="146" t="str">
        <f t="shared" si="0"/>
        <v/>
      </c>
    </row>
    <row r="50" spans="1:5" x14ac:dyDescent="0.25">
      <c r="A50" s="145">
        <v>0</v>
      </c>
      <c r="B50" s="4" t="b">
        <v>0</v>
      </c>
      <c r="C50" s="4" t="b">
        <v>0</v>
      </c>
      <c r="D50" s="4" t="b">
        <v>0</v>
      </c>
      <c r="E50" s="146" t="str">
        <f t="shared" si="0"/>
        <v/>
      </c>
    </row>
    <row r="51" spans="1:5" x14ac:dyDescent="0.25">
      <c r="A51" s="145">
        <v>0</v>
      </c>
      <c r="B51" s="4" t="b">
        <v>0</v>
      </c>
      <c r="C51" s="4" t="b">
        <v>0</v>
      </c>
      <c r="D51" s="4" t="b">
        <v>0</v>
      </c>
      <c r="E51" s="146" t="str">
        <f t="shared" si="0"/>
        <v/>
      </c>
    </row>
    <row r="52" spans="1:5" x14ac:dyDescent="0.25">
      <c r="A52" s="145">
        <v>0</v>
      </c>
      <c r="B52" s="4" t="b">
        <v>0</v>
      </c>
      <c r="C52" s="4" t="b">
        <v>0</v>
      </c>
      <c r="D52" s="4" t="b">
        <v>0</v>
      </c>
      <c r="E52" s="146" t="str">
        <f t="shared" si="0"/>
        <v/>
      </c>
    </row>
    <row r="53" spans="1:5" x14ac:dyDescent="0.25">
      <c r="A53" s="145">
        <v>0</v>
      </c>
      <c r="B53" s="4" t="b">
        <v>0</v>
      </c>
      <c r="C53" s="4" t="b">
        <v>0</v>
      </c>
      <c r="D53" s="4" t="b">
        <v>0</v>
      </c>
      <c r="E53" s="146" t="str">
        <f t="shared" si="0"/>
        <v/>
      </c>
    </row>
    <row r="54" spans="1:5" x14ac:dyDescent="0.25">
      <c r="A54" s="145">
        <v>0</v>
      </c>
      <c r="B54" s="4" t="b">
        <v>0</v>
      </c>
      <c r="C54" s="4" t="b">
        <v>0</v>
      </c>
      <c r="D54" s="4" t="b">
        <v>0</v>
      </c>
      <c r="E54" s="146" t="str">
        <f t="shared" si="0"/>
        <v/>
      </c>
    </row>
    <row r="55" spans="1:5" x14ac:dyDescent="0.25">
      <c r="A55" s="145">
        <v>0</v>
      </c>
      <c r="B55" s="4" t="b">
        <v>0</v>
      </c>
      <c r="C55" s="4" t="b">
        <v>0</v>
      </c>
      <c r="D55" s="4" t="b">
        <v>0</v>
      </c>
      <c r="E55" s="146" t="str">
        <f t="shared" si="0"/>
        <v/>
      </c>
    </row>
    <row r="56" spans="1:5" x14ac:dyDescent="0.25">
      <c r="A56" s="145">
        <v>0</v>
      </c>
      <c r="B56" s="4" t="b">
        <v>0</v>
      </c>
      <c r="C56" s="4" t="b">
        <v>0</v>
      </c>
      <c r="D56" s="4" t="b">
        <v>0</v>
      </c>
      <c r="E56" s="146" t="str">
        <f t="shared" si="0"/>
        <v/>
      </c>
    </row>
    <row r="57" spans="1:5" x14ac:dyDescent="0.25">
      <c r="A57" s="145">
        <v>0</v>
      </c>
      <c r="B57" s="4" t="b">
        <v>0</v>
      </c>
      <c r="C57" s="4" t="b">
        <v>0</v>
      </c>
      <c r="D57" s="4" t="b">
        <v>0</v>
      </c>
      <c r="E57" s="146" t="str">
        <f t="shared" si="0"/>
        <v/>
      </c>
    </row>
    <row r="58" spans="1:5" x14ac:dyDescent="0.25">
      <c r="A58" s="145">
        <v>0</v>
      </c>
      <c r="B58" s="4" t="b">
        <v>0</v>
      </c>
      <c r="C58" s="4" t="b">
        <v>0</v>
      </c>
      <c r="D58" s="4" t="b">
        <v>0</v>
      </c>
      <c r="E58" s="146" t="str">
        <f t="shared" si="0"/>
        <v/>
      </c>
    </row>
    <row r="59" spans="1:5" x14ac:dyDescent="0.25">
      <c r="A59" s="145">
        <v>0</v>
      </c>
      <c r="B59" s="4" t="b">
        <v>0</v>
      </c>
      <c r="C59" s="4" t="b">
        <v>0</v>
      </c>
      <c r="D59" s="4" t="b">
        <v>0</v>
      </c>
      <c r="E59" s="146" t="str">
        <f t="shared" si="0"/>
        <v/>
      </c>
    </row>
    <row r="60" spans="1:5" x14ac:dyDescent="0.25">
      <c r="A60" s="145">
        <v>0</v>
      </c>
      <c r="B60" s="4" t="b">
        <v>0</v>
      </c>
      <c r="C60" s="4" t="b">
        <v>0</v>
      </c>
      <c r="D60" s="4" t="b">
        <v>0</v>
      </c>
      <c r="E60" s="146" t="str">
        <f t="shared" si="0"/>
        <v/>
      </c>
    </row>
    <row r="61" spans="1:5" x14ac:dyDescent="0.25">
      <c r="A61" s="145">
        <v>0</v>
      </c>
      <c r="B61" s="4" t="b">
        <v>0</v>
      </c>
      <c r="C61" s="4" t="b">
        <v>0</v>
      </c>
      <c r="D61" s="4" t="b">
        <v>0</v>
      </c>
      <c r="E61" s="146" t="str">
        <f t="shared" si="0"/>
        <v/>
      </c>
    </row>
    <row r="62" spans="1:5" x14ac:dyDescent="0.25">
      <c r="A62" s="145">
        <v>0</v>
      </c>
      <c r="B62" s="4" t="b">
        <v>0</v>
      </c>
      <c r="C62" s="4" t="b">
        <v>0</v>
      </c>
      <c r="D62" s="4" t="b">
        <v>0</v>
      </c>
      <c r="E62" s="146" t="str">
        <f t="shared" si="0"/>
        <v/>
      </c>
    </row>
    <row r="63" spans="1:5" x14ac:dyDescent="0.25">
      <c r="A63" s="145">
        <v>0</v>
      </c>
      <c r="B63" s="4" t="b">
        <v>0</v>
      </c>
      <c r="C63" s="4" t="b">
        <v>0</v>
      </c>
      <c r="D63" s="4" t="b">
        <v>0</v>
      </c>
      <c r="E63" s="146" t="str">
        <f t="shared" si="0"/>
        <v/>
      </c>
    </row>
    <row r="64" spans="1:5" x14ac:dyDescent="0.25">
      <c r="A64" s="145">
        <v>0</v>
      </c>
      <c r="B64" s="4" t="b">
        <v>0</v>
      </c>
      <c r="C64" s="4" t="b">
        <v>0</v>
      </c>
      <c r="D64" s="4" t="b">
        <v>0</v>
      </c>
      <c r="E64" s="146" t="str">
        <f t="shared" si="0"/>
        <v/>
      </c>
    </row>
    <row r="65" spans="1:5" x14ac:dyDescent="0.25">
      <c r="A65" s="145">
        <v>0</v>
      </c>
      <c r="B65" s="4" t="b">
        <v>0</v>
      </c>
      <c r="C65" s="4" t="b">
        <v>0</v>
      </c>
      <c r="D65" s="4" t="b">
        <v>0</v>
      </c>
      <c r="E65" s="146" t="str">
        <f t="shared" si="0"/>
        <v/>
      </c>
    </row>
    <row r="66" spans="1:5" x14ac:dyDescent="0.25">
      <c r="A66" s="145">
        <v>0</v>
      </c>
      <c r="B66" s="4" t="b">
        <v>0</v>
      </c>
      <c r="C66" s="4" t="b">
        <v>0</v>
      </c>
      <c r="D66" s="4" t="b">
        <v>0</v>
      </c>
      <c r="E66" s="146" t="str">
        <f t="shared" si="0"/>
        <v/>
      </c>
    </row>
    <row r="67" spans="1:5" x14ac:dyDescent="0.25">
      <c r="A67" s="145">
        <v>0</v>
      </c>
      <c r="B67" s="4" t="b">
        <v>0</v>
      </c>
      <c r="C67" s="4" t="b">
        <v>0</v>
      </c>
      <c r="D67" s="4" t="b">
        <v>0</v>
      </c>
      <c r="E67" s="146" t="str">
        <f t="shared" ref="E67:E101" si="1">IF(A67&gt;0,1/B67*(0.0381*B67+0.9982),"")</f>
        <v/>
      </c>
    </row>
    <row r="68" spans="1:5" x14ac:dyDescent="0.25">
      <c r="A68" s="145">
        <v>0</v>
      </c>
      <c r="B68" s="4" t="b">
        <v>0</v>
      </c>
      <c r="C68" s="4" t="b">
        <v>0</v>
      </c>
      <c r="D68" s="4" t="b">
        <v>0</v>
      </c>
      <c r="E68" s="146" t="str">
        <f t="shared" si="1"/>
        <v/>
      </c>
    </row>
    <row r="69" spans="1:5" x14ac:dyDescent="0.25">
      <c r="A69" s="145">
        <v>0</v>
      </c>
      <c r="B69" s="4" t="b">
        <v>0</v>
      </c>
      <c r="C69" s="4" t="b">
        <v>0</v>
      </c>
      <c r="D69" s="4" t="b">
        <v>0</v>
      </c>
      <c r="E69" s="146" t="str">
        <f t="shared" si="1"/>
        <v/>
      </c>
    </row>
    <row r="70" spans="1:5" x14ac:dyDescent="0.25">
      <c r="A70" s="145">
        <v>0</v>
      </c>
      <c r="B70" s="4" t="b">
        <v>0</v>
      </c>
      <c r="C70" s="4" t="b">
        <v>0</v>
      </c>
      <c r="D70" s="4" t="b">
        <v>0</v>
      </c>
      <c r="E70" s="146" t="str">
        <f t="shared" si="1"/>
        <v/>
      </c>
    </row>
    <row r="71" spans="1:5" x14ac:dyDescent="0.25">
      <c r="A71" s="145">
        <v>0</v>
      </c>
      <c r="B71" s="4" t="b">
        <v>0</v>
      </c>
      <c r="C71" s="4" t="b">
        <v>0</v>
      </c>
      <c r="D71" s="4" t="b">
        <v>0</v>
      </c>
      <c r="E71" s="146" t="str">
        <f t="shared" si="1"/>
        <v/>
      </c>
    </row>
    <row r="72" spans="1:5" x14ac:dyDescent="0.25">
      <c r="A72" s="145">
        <v>0</v>
      </c>
      <c r="B72" s="4" t="b">
        <v>0</v>
      </c>
      <c r="C72" s="4" t="b">
        <v>0</v>
      </c>
      <c r="D72" s="4" t="b">
        <v>0</v>
      </c>
      <c r="E72" s="146" t="str">
        <f t="shared" si="1"/>
        <v/>
      </c>
    </row>
    <row r="73" spans="1:5" x14ac:dyDescent="0.25">
      <c r="A73" s="145">
        <v>0</v>
      </c>
      <c r="B73" s="4" t="b">
        <v>0</v>
      </c>
      <c r="C73" s="4" t="b">
        <v>0</v>
      </c>
      <c r="D73" s="4" t="b">
        <v>0</v>
      </c>
      <c r="E73" s="146" t="str">
        <f t="shared" si="1"/>
        <v/>
      </c>
    </row>
    <row r="74" spans="1:5" x14ac:dyDescent="0.25">
      <c r="A74" s="145">
        <v>0</v>
      </c>
      <c r="B74" s="4" t="b">
        <v>0</v>
      </c>
      <c r="C74" s="4" t="b">
        <v>0</v>
      </c>
      <c r="D74" s="4" t="b">
        <v>0</v>
      </c>
      <c r="E74" s="146" t="str">
        <f t="shared" si="1"/>
        <v/>
      </c>
    </row>
    <row r="75" spans="1:5" x14ac:dyDescent="0.25">
      <c r="A75" s="145">
        <v>0</v>
      </c>
      <c r="B75" s="4" t="b">
        <v>0</v>
      </c>
      <c r="C75" s="4" t="b">
        <v>0</v>
      </c>
      <c r="D75" s="4" t="b">
        <v>0</v>
      </c>
      <c r="E75" s="146" t="str">
        <f t="shared" si="1"/>
        <v/>
      </c>
    </row>
    <row r="76" spans="1:5" x14ac:dyDescent="0.25">
      <c r="A76" s="145">
        <v>0</v>
      </c>
      <c r="B76" s="4" t="b">
        <v>0</v>
      </c>
      <c r="C76" s="4" t="b">
        <v>0</v>
      </c>
      <c r="D76" s="4" t="b">
        <v>0</v>
      </c>
      <c r="E76" s="146" t="str">
        <f t="shared" si="1"/>
        <v/>
      </c>
    </row>
    <row r="77" spans="1:5" x14ac:dyDescent="0.25">
      <c r="A77" s="145">
        <v>0</v>
      </c>
      <c r="B77" s="4" t="b">
        <v>0</v>
      </c>
      <c r="C77" s="4" t="b">
        <v>0</v>
      </c>
      <c r="D77" s="4" t="b">
        <v>0</v>
      </c>
      <c r="E77" s="146" t="str">
        <f t="shared" si="1"/>
        <v/>
      </c>
    </row>
    <row r="78" spans="1:5" x14ac:dyDescent="0.25">
      <c r="A78" s="145">
        <v>0</v>
      </c>
      <c r="B78" s="4" t="b">
        <v>0</v>
      </c>
      <c r="C78" s="4" t="b">
        <v>0</v>
      </c>
      <c r="D78" s="4" t="b">
        <v>0</v>
      </c>
      <c r="E78" s="146" t="str">
        <f t="shared" si="1"/>
        <v/>
      </c>
    </row>
    <row r="79" spans="1:5" x14ac:dyDescent="0.25">
      <c r="A79" s="145">
        <v>0</v>
      </c>
      <c r="B79" s="4" t="b">
        <v>0</v>
      </c>
      <c r="C79" s="4" t="b">
        <v>0</v>
      </c>
      <c r="D79" s="4" t="b">
        <v>0</v>
      </c>
      <c r="E79" s="146" t="str">
        <f t="shared" si="1"/>
        <v/>
      </c>
    </row>
    <row r="80" spans="1:5" x14ac:dyDescent="0.25">
      <c r="A80" s="145">
        <v>0</v>
      </c>
      <c r="B80" s="4" t="b">
        <v>0</v>
      </c>
      <c r="C80" s="4" t="b">
        <v>0</v>
      </c>
      <c r="D80" s="4" t="b">
        <v>0</v>
      </c>
      <c r="E80" s="146" t="str">
        <f t="shared" si="1"/>
        <v/>
      </c>
    </row>
    <row r="81" spans="1:5" x14ac:dyDescent="0.25">
      <c r="A81" s="145">
        <v>0</v>
      </c>
      <c r="B81" s="4" t="b">
        <v>0</v>
      </c>
      <c r="C81" s="4" t="b">
        <v>0</v>
      </c>
      <c r="D81" s="4" t="b">
        <v>0</v>
      </c>
      <c r="E81" s="146" t="str">
        <f t="shared" si="1"/>
        <v/>
      </c>
    </row>
    <row r="82" spans="1:5" x14ac:dyDescent="0.25">
      <c r="A82" s="145">
        <v>0</v>
      </c>
      <c r="B82" s="4" t="b">
        <v>0</v>
      </c>
      <c r="C82" s="4" t="b">
        <v>0</v>
      </c>
      <c r="D82" s="4" t="b">
        <v>0</v>
      </c>
      <c r="E82" s="146" t="str">
        <f t="shared" si="1"/>
        <v/>
      </c>
    </row>
    <row r="83" spans="1:5" x14ac:dyDescent="0.25">
      <c r="A83" s="145">
        <v>0</v>
      </c>
      <c r="B83" s="4" t="b">
        <v>0</v>
      </c>
      <c r="C83" s="4" t="b">
        <v>0</v>
      </c>
      <c r="D83" s="4" t="b">
        <v>0</v>
      </c>
      <c r="E83" s="146" t="str">
        <f t="shared" si="1"/>
        <v/>
      </c>
    </row>
    <row r="84" spans="1:5" x14ac:dyDescent="0.25">
      <c r="A84" s="145">
        <v>0</v>
      </c>
      <c r="B84" s="4" t="b">
        <v>0</v>
      </c>
      <c r="C84" s="4" t="b">
        <v>0</v>
      </c>
      <c r="D84" s="4" t="b">
        <v>0</v>
      </c>
      <c r="E84" s="146" t="str">
        <f t="shared" si="1"/>
        <v/>
      </c>
    </row>
    <row r="85" spans="1:5" x14ac:dyDescent="0.25">
      <c r="A85" s="145">
        <v>0</v>
      </c>
      <c r="B85" s="4" t="b">
        <v>0</v>
      </c>
      <c r="C85" s="4" t="b">
        <v>0</v>
      </c>
      <c r="D85" s="4" t="b">
        <v>0</v>
      </c>
      <c r="E85" s="146" t="str">
        <f t="shared" si="1"/>
        <v/>
      </c>
    </row>
    <row r="86" spans="1:5" x14ac:dyDescent="0.25">
      <c r="A86" s="145">
        <v>0</v>
      </c>
      <c r="B86" s="4" t="b">
        <v>0</v>
      </c>
      <c r="C86" s="4" t="b">
        <v>0</v>
      </c>
      <c r="D86" s="4" t="b">
        <v>0</v>
      </c>
      <c r="E86" s="146" t="str">
        <f t="shared" si="1"/>
        <v/>
      </c>
    </row>
    <row r="87" spans="1:5" x14ac:dyDescent="0.25">
      <c r="A87" s="145">
        <v>0</v>
      </c>
      <c r="B87" s="4" t="b">
        <v>0</v>
      </c>
      <c r="C87" s="4" t="b">
        <v>0</v>
      </c>
      <c r="D87" s="4" t="b">
        <v>0</v>
      </c>
      <c r="E87" s="146" t="str">
        <f t="shared" si="1"/>
        <v/>
      </c>
    </row>
    <row r="88" spans="1:5" x14ac:dyDescent="0.25">
      <c r="A88" s="145">
        <v>0</v>
      </c>
      <c r="B88" s="4" t="b">
        <v>0</v>
      </c>
      <c r="C88" s="4" t="b">
        <v>0</v>
      </c>
      <c r="D88" s="4" t="b">
        <v>0</v>
      </c>
      <c r="E88" s="146" t="str">
        <f t="shared" si="1"/>
        <v/>
      </c>
    </row>
    <row r="89" spans="1:5" x14ac:dyDescent="0.25">
      <c r="A89" s="145">
        <v>0</v>
      </c>
      <c r="B89" s="4" t="b">
        <v>0</v>
      </c>
      <c r="C89" s="4" t="b">
        <v>0</v>
      </c>
      <c r="D89" s="4" t="b">
        <v>0</v>
      </c>
      <c r="E89" s="146" t="str">
        <f t="shared" si="1"/>
        <v/>
      </c>
    </row>
    <row r="90" spans="1:5" x14ac:dyDescent="0.25">
      <c r="A90" s="145">
        <v>0</v>
      </c>
      <c r="B90" s="4" t="b">
        <v>0</v>
      </c>
      <c r="C90" s="4" t="b">
        <v>0</v>
      </c>
      <c r="D90" s="4" t="b">
        <v>0</v>
      </c>
      <c r="E90" s="146" t="str">
        <f t="shared" si="1"/>
        <v/>
      </c>
    </row>
    <row r="91" spans="1:5" x14ac:dyDescent="0.25">
      <c r="A91" s="145">
        <v>0</v>
      </c>
      <c r="B91" s="4" t="b">
        <v>0</v>
      </c>
      <c r="C91" s="4" t="b">
        <v>0</v>
      </c>
      <c r="D91" s="4" t="b">
        <v>0</v>
      </c>
      <c r="E91" s="146" t="str">
        <f t="shared" si="1"/>
        <v/>
      </c>
    </row>
    <row r="92" spans="1:5" x14ac:dyDescent="0.25">
      <c r="A92" s="145">
        <v>0</v>
      </c>
      <c r="B92" s="4" t="b">
        <v>0</v>
      </c>
      <c r="C92" s="4" t="b">
        <v>0</v>
      </c>
      <c r="D92" s="4" t="b">
        <v>0</v>
      </c>
      <c r="E92" s="146" t="str">
        <f t="shared" si="1"/>
        <v/>
      </c>
    </row>
    <row r="93" spans="1:5" x14ac:dyDescent="0.25">
      <c r="A93" s="145">
        <v>0</v>
      </c>
      <c r="B93" s="4" t="b">
        <v>0</v>
      </c>
      <c r="C93" s="4" t="b">
        <v>0</v>
      </c>
      <c r="D93" s="4" t="b">
        <v>0</v>
      </c>
      <c r="E93" s="146" t="str">
        <f t="shared" si="1"/>
        <v/>
      </c>
    </row>
    <row r="94" spans="1:5" x14ac:dyDescent="0.25">
      <c r="A94" s="145">
        <v>0</v>
      </c>
      <c r="B94" s="4" t="b">
        <v>0</v>
      </c>
      <c r="C94" s="4" t="b">
        <v>0</v>
      </c>
      <c r="D94" s="4" t="b">
        <v>0</v>
      </c>
      <c r="E94" s="146" t="str">
        <f t="shared" si="1"/>
        <v/>
      </c>
    </row>
    <row r="95" spans="1:5" x14ac:dyDescent="0.25">
      <c r="A95" s="145">
        <v>0</v>
      </c>
      <c r="B95" s="4" t="b">
        <v>0</v>
      </c>
      <c r="C95" s="4" t="b">
        <v>0</v>
      </c>
      <c r="D95" s="4" t="b">
        <v>0</v>
      </c>
      <c r="E95" s="146" t="str">
        <f t="shared" si="1"/>
        <v/>
      </c>
    </row>
    <row r="96" spans="1:5" x14ac:dyDescent="0.25">
      <c r="A96" s="145">
        <v>0</v>
      </c>
      <c r="B96" s="4" t="b">
        <v>0</v>
      </c>
      <c r="C96" s="4" t="b">
        <v>0</v>
      </c>
      <c r="D96" s="4" t="b">
        <v>0</v>
      </c>
      <c r="E96" s="146" t="str">
        <f t="shared" si="1"/>
        <v/>
      </c>
    </row>
    <row r="97" spans="1:11" x14ac:dyDescent="0.25">
      <c r="A97" s="145">
        <v>0</v>
      </c>
      <c r="B97" s="4" t="b">
        <v>0</v>
      </c>
      <c r="C97" s="4" t="b">
        <v>0</v>
      </c>
      <c r="D97" s="4" t="b">
        <v>0</v>
      </c>
      <c r="E97" s="146" t="str">
        <f t="shared" si="1"/>
        <v/>
      </c>
    </row>
    <row r="98" spans="1:11" x14ac:dyDescent="0.25">
      <c r="A98" s="145">
        <v>0</v>
      </c>
      <c r="B98" s="4" t="b">
        <v>0</v>
      </c>
      <c r="C98" s="4" t="b">
        <v>0</v>
      </c>
      <c r="D98" s="4" t="b">
        <v>0</v>
      </c>
      <c r="E98" s="146" t="str">
        <f t="shared" si="1"/>
        <v/>
      </c>
    </row>
    <row r="99" spans="1:11" x14ac:dyDescent="0.25">
      <c r="A99" s="145">
        <v>0</v>
      </c>
      <c r="B99" s="4" t="b">
        <v>0</v>
      </c>
      <c r="C99" s="4" t="b">
        <v>0</v>
      </c>
      <c r="D99" s="4" t="b">
        <v>0</v>
      </c>
      <c r="E99" s="146" t="str">
        <f t="shared" si="1"/>
        <v/>
      </c>
    </row>
    <row r="100" spans="1:11" x14ac:dyDescent="0.25">
      <c r="A100" s="145">
        <v>0</v>
      </c>
      <c r="B100" s="4" t="b">
        <v>0</v>
      </c>
      <c r="C100" s="4" t="b">
        <v>0</v>
      </c>
      <c r="D100" s="4" t="b">
        <v>0</v>
      </c>
      <c r="E100" s="146" t="str">
        <f t="shared" si="1"/>
        <v/>
      </c>
    </row>
    <row r="101" spans="1:11" ht="13.8" thickBot="1" x14ac:dyDescent="0.3">
      <c r="A101" s="154">
        <v>0</v>
      </c>
      <c r="B101" s="155" t="b">
        <v>0</v>
      </c>
      <c r="C101" s="155" t="b">
        <v>0</v>
      </c>
      <c r="D101" s="155" t="b">
        <v>0</v>
      </c>
      <c r="E101" s="170" t="str">
        <f t="shared" si="1"/>
        <v/>
      </c>
      <c r="F101" s="205"/>
      <c r="G101" s="205"/>
      <c r="H101" s="205"/>
    </row>
    <row r="102" spans="1:11" x14ac:dyDescent="0.25">
      <c r="A102" s="156" t="s">
        <v>17</v>
      </c>
      <c r="B102" s="157">
        <f>AVERAGE($B$2:$B$101)</f>
        <v>1.5851073916946967</v>
      </c>
      <c r="C102" s="157">
        <f>AVERAGE($C$2:$C$101)</f>
        <v>-5.2660738380844894</v>
      </c>
      <c r="D102" s="157">
        <f>AVERAGE($D$2:$D$101)</f>
        <v>0.7552209768776349</v>
      </c>
      <c r="E102" s="37">
        <f>AVERAGE(E2:E101)</f>
        <v>0.67617999934867412</v>
      </c>
    </row>
    <row r="103" spans="1:11" x14ac:dyDescent="0.25">
      <c r="A103" s="147" t="s">
        <v>18</v>
      </c>
      <c r="B103" s="26">
        <f>ROUND(STDEV(B2:B101),3)</f>
        <v>0.19500000000000001</v>
      </c>
      <c r="C103" s="26">
        <f>ROUND(STDEV(C2:C101),3)</f>
        <v>1.266</v>
      </c>
      <c r="D103" s="26">
        <f>ROUND(STDEV(D2:D101),3)</f>
        <v>3.9E-2</v>
      </c>
      <c r="E103" s="115">
        <f>ROUND(STDEV(E2:E101),3)</f>
        <v>7.3999999999999996E-2</v>
      </c>
      <c r="F103" s="13"/>
      <c r="G103" s="12"/>
      <c r="H103" s="13"/>
    </row>
    <row r="104" spans="1:11" ht="15.6" x14ac:dyDescent="0.25">
      <c r="A104" s="147" t="s">
        <v>67</v>
      </c>
      <c r="B104" s="37">
        <f>ROUND($B$103/$B$102,3)</f>
        <v>0.123</v>
      </c>
      <c r="C104" s="37">
        <f>ABS(ROUND($C$103/$C$102,3))</f>
        <v>0.24</v>
      </c>
      <c r="D104" s="37">
        <f>ROUND($D$103/$D$102,3)</f>
        <v>5.1999999999999998E-2</v>
      </c>
      <c r="E104" s="115">
        <f>ROUND(E103/E102,3)</f>
        <v>0.109</v>
      </c>
      <c r="F104" s="13"/>
      <c r="G104" s="12"/>
      <c r="H104" s="13"/>
    </row>
    <row r="105" spans="1:11" x14ac:dyDescent="0.25">
      <c r="A105" s="149" t="s">
        <v>22</v>
      </c>
      <c r="B105" s="26">
        <f>MIN(B2:B101)</f>
        <v>1.3078050972936459</v>
      </c>
      <c r="C105" s="26">
        <f>MIN(C2:C101)</f>
        <v>-7.5607166044152434</v>
      </c>
      <c r="D105" s="26">
        <f>MIN(D2:D101)</f>
        <v>0.69248655536243242</v>
      </c>
      <c r="E105" s="115">
        <f>MIN(E2:E101)</f>
        <v>0.53920070072804649</v>
      </c>
      <c r="F105" s="14"/>
      <c r="G105" s="15"/>
      <c r="H105" s="16"/>
    </row>
    <row r="106" spans="1:11" ht="13.8" thickBot="1" x14ac:dyDescent="0.3">
      <c r="A106" s="151" t="s">
        <v>23</v>
      </c>
      <c r="B106" s="152">
        <f>MAX(B2:B101)</f>
        <v>1.9920147757720568</v>
      </c>
      <c r="C106" s="152">
        <f>MAX(C2:C101)</f>
        <v>-3.5362210490716239</v>
      </c>
      <c r="D106" s="152">
        <f>MAX(D2:D101)</f>
        <v>0.79825071663242375</v>
      </c>
      <c r="E106" s="148">
        <f>MAX(E2:E101)</f>
        <v>0.80136357961569471</v>
      </c>
      <c r="F106" s="189"/>
      <c r="G106" s="189"/>
      <c r="H106" s="189"/>
      <c r="I106" s="189"/>
      <c r="J106" s="189"/>
      <c r="K106" s="189"/>
    </row>
    <row r="107" spans="1:11" x14ac:dyDescent="0.25">
      <c r="A107" s="190" t="s">
        <v>24</v>
      </c>
      <c r="B107" s="191"/>
      <c r="C107" s="191"/>
      <c r="D107" s="192"/>
    </row>
    <row r="108" spans="1:11" x14ac:dyDescent="0.25">
      <c r="A108" s="149" t="s">
        <v>22</v>
      </c>
      <c r="B108" s="26">
        <f>B102-B103*1.96</f>
        <v>1.2029073916946968</v>
      </c>
      <c r="C108" s="26">
        <f>C102-C103*1.96</f>
        <v>-7.7474338380844898</v>
      </c>
      <c r="D108" s="150">
        <f>D102-D103*1.96</f>
        <v>0.67878097687763495</v>
      </c>
    </row>
    <row r="109" spans="1:11" ht="13.8" thickBot="1" x14ac:dyDescent="0.3">
      <c r="A109" s="151" t="s">
        <v>23</v>
      </c>
      <c r="B109" s="152">
        <f>B102+B103*1.96</f>
        <v>1.9673073916946966</v>
      </c>
      <c r="C109" s="152">
        <f>C102+C103*1.96</f>
        <v>-2.7847138380844894</v>
      </c>
      <c r="D109" s="153">
        <f>D102+D103*1.96</f>
        <v>0.83166097687763485</v>
      </c>
    </row>
    <row r="110" spans="1:11" ht="13.8" thickBot="1" x14ac:dyDescent="0.3">
      <c r="A110" s="151" t="s">
        <v>141</v>
      </c>
      <c r="B110" s="157">
        <f>AVERAGE($B$2:$B$101)</f>
        <v>1.5851073916946967</v>
      </c>
      <c r="C110" s="157">
        <f>AVERAGE($C$2:$C$101)</f>
        <v>-5.2660738380844894</v>
      </c>
      <c r="D110" s="157">
        <f>AVERAGE($D$2:$D$101)</f>
        <v>0.7552209768776349</v>
      </c>
      <c r="E110" s="37">
        <f>ROUND($B$103/$B$102,3)</f>
        <v>0.123</v>
      </c>
      <c r="F110" s="37">
        <f>ABS(ROUND($C$103/$C$102,3))</f>
        <v>0.24</v>
      </c>
      <c r="G110" s="37">
        <f>ROUND($D$103/$D$102,3)</f>
        <v>5.1999999999999998E-2</v>
      </c>
    </row>
  </sheetData>
  <sheetProtection selectLockedCells="1"/>
  <mergeCells count="6">
    <mergeCell ref="F106:G106"/>
    <mergeCell ref="H106:I106"/>
    <mergeCell ref="J106:K106"/>
    <mergeCell ref="A107:D107"/>
    <mergeCell ref="F1:J27"/>
    <mergeCell ref="F101:H101"/>
  </mergeCells>
  <phoneticPr fontId="6" type="noConversion"/>
  <conditionalFormatting sqref="A75:A101">
    <cfRule type="cellIs" dxfId="24" priority="85" stopIfTrue="1" operator="equal">
      <formula>0</formula>
    </cfRule>
  </conditionalFormatting>
  <conditionalFormatting sqref="B75:D101">
    <cfRule type="cellIs" dxfId="23" priority="86" stopIfTrue="1" operator="equal">
      <formula>FALSE</formula>
    </cfRule>
  </conditionalFormatting>
  <conditionalFormatting sqref="A32:A74">
    <cfRule type="cellIs" dxfId="22" priority="5" stopIfTrue="1" operator="equal">
      <formula>0</formula>
    </cfRule>
  </conditionalFormatting>
  <conditionalFormatting sqref="B32:D74">
    <cfRule type="cellIs" dxfId="21" priority="6" stopIfTrue="1" operator="equal">
      <formula>FALSE</formula>
    </cfRule>
  </conditionalFormatting>
  <conditionalFormatting sqref="A2">
    <cfRule type="cellIs" dxfId="20" priority="3" stopIfTrue="1" operator="equal">
      <formula>0</formula>
    </cfRule>
  </conditionalFormatting>
  <conditionalFormatting sqref="B2:D2">
    <cfRule type="cellIs" dxfId="19" priority="4" stopIfTrue="1" operator="equal">
      <formula>FALSE</formula>
    </cfRule>
  </conditionalFormatting>
  <conditionalFormatting sqref="A3:A31">
    <cfRule type="cellIs" dxfId="18" priority="1" stopIfTrue="1" operator="equal">
      <formula>0</formula>
    </cfRule>
  </conditionalFormatting>
  <conditionalFormatting sqref="B3:D31">
    <cfRule type="cellIs" dxfId="17" priority="2" stopIfTrue="1" operator="equal">
      <formula>FALSE</formula>
    </cfRule>
  </conditionalFormatting>
  <printOptions horizontalCentered="1"/>
  <pageMargins left="0.98425196850393704" right="0.78740157480314965" top="0.39370078740157483" bottom="0.39370078740157483" header="0" footer="0"/>
  <pageSetup paperSize="9" scale="57"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indexed="9"/>
    <pageSetUpPr fitToPage="1"/>
  </sheetPr>
  <dimension ref="A1:AK27"/>
  <sheetViews>
    <sheetView showGridLines="0" zoomScale="90" zoomScaleNormal="90" workbookViewId="0">
      <selection activeCell="H16" sqref="H16"/>
    </sheetView>
  </sheetViews>
  <sheetFormatPr defaultRowHeight="13.2" x14ac:dyDescent="0.25"/>
  <cols>
    <col min="1" max="1" width="4.77734375" customWidth="1"/>
    <col min="2" max="2" width="17.109375" customWidth="1"/>
    <col min="3" max="8" width="8.6640625" customWidth="1"/>
    <col min="9" max="9" width="5.88671875" customWidth="1"/>
    <col min="10" max="10" width="8.6640625" customWidth="1"/>
    <col min="12" max="12" width="13.5546875" customWidth="1"/>
    <col min="13" max="13" width="12.77734375" customWidth="1"/>
  </cols>
  <sheetData>
    <row r="1" spans="1:23" ht="13.8" thickBot="1" x14ac:dyDescent="0.3"/>
    <row r="2" spans="1:23" ht="12.45" customHeight="1" x14ac:dyDescent="0.25">
      <c r="A2" s="209" t="s">
        <v>13</v>
      </c>
      <c r="B2" s="211" t="s">
        <v>3</v>
      </c>
      <c r="C2" s="211" t="s">
        <v>4</v>
      </c>
      <c r="D2" s="211"/>
      <c r="E2" s="211" t="s">
        <v>5</v>
      </c>
      <c r="F2" s="211"/>
      <c r="G2" s="211" t="s">
        <v>6</v>
      </c>
      <c r="H2" s="212"/>
      <c r="J2" s="206" t="s">
        <v>138</v>
      </c>
      <c r="K2" s="207"/>
      <c r="L2" s="207"/>
      <c r="M2" s="207"/>
      <c r="N2" s="207"/>
      <c r="O2" s="207"/>
      <c r="P2" s="207"/>
      <c r="Q2" s="207"/>
      <c r="R2" s="207"/>
      <c r="S2" s="207"/>
      <c r="T2" s="207"/>
      <c r="U2" s="207"/>
      <c r="V2" s="207"/>
      <c r="W2" s="207"/>
    </row>
    <row r="3" spans="1:23" ht="12.45" customHeight="1" x14ac:dyDescent="0.25">
      <c r="A3" s="210"/>
      <c r="B3" s="213"/>
      <c r="C3" s="166" t="s">
        <v>7</v>
      </c>
      <c r="D3" s="166" t="s">
        <v>8</v>
      </c>
      <c r="E3" s="166" t="s">
        <v>7</v>
      </c>
      <c r="F3" s="166" t="s">
        <v>8</v>
      </c>
      <c r="G3" s="166" t="s">
        <v>7</v>
      </c>
      <c r="H3" s="167" t="s">
        <v>8</v>
      </c>
      <c r="J3" s="207"/>
      <c r="K3" s="207"/>
      <c r="L3" s="207"/>
      <c r="M3" s="207"/>
      <c r="N3" s="207"/>
      <c r="O3" s="207"/>
      <c r="P3" s="207"/>
      <c r="Q3" s="207"/>
      <c r="R3" s="207"/>
      <c r="S3" s="207"/>
      <c r="T3" s="207"/>
      <c r="U3" s="207"/>
      <c r="V3" s="207"/>
      <c r="W3" s="207"/>
    </row>
    <row r="4" spans="1:23" ht="12.45" customHeight="1" x14ac:dyDescent="0.25">
      <c r="A4" s="5">
        <v>1</v>
      </c>
      <c r="B4" s="174" t="s">
        <v>142</v>
      </c>
      <c r="C4" s="171">
        <v>0.76</v>
      </c>
      <c r="D4" s="171">
        <v>2.16</v>
      </c>
      <c r="E4" s="171">
        <v>-15.31</v>
      </c>
      <c r="F4" s="171">
        <v>0</v>
      </c>
      <c r="G4" s="172">
        <v>0.61599999999999999</v>
      </c>
      <c r="H4" s="173">
        <v>0.92300000000000004</v>
      </c>
      <c r="J4" s="207"/>
      <c r="K4" s="207"/>
      <c r="L4" s="207"/>
      <c r="M4" s="207"/>
      <c r="N4" s="207"/>
      <c r="O4" s="207"/>
      <c r="P4" s="207"/>
      <c r="Q4" s="207"/>
      <c r="R4" s="207"/>
      <c r="S4" s="207"/>
      <c r="T4" s="207"/>
      <c r="U4" s="207"/>
      <c r="V4" s="207"/>
      <c r="W4" s="207"/>
    </row>
    <row r="5" spans="1:23" ht="12.45" customHeight="1" x14ac:dyDescent="0.25">
      <c r="A5" s="5">
        <v>2</v>
      </c>
      <c r="B5" s="168" t="s">
        <v>9</v>
      </c>
      <c r="C5" s="1">
        <v>1.73</v>
      </c>
      <c r="D5" s="1">
        <v>2.75</v>
      </c>
      <c r="E5" s="1">
        <v>-2.84</v>
      </c>
      <c r="F5" s="1">
        <v>2.84</v>
      </c>
      <c r="G5" s="2">
        <v>0.70399999999999996</v>
      </c>
      <c r="H5" s="6">
        <v>1.0269999999999999</v>
      </c>
      <c r="J5" s="207"/>
      <c r="K5" s="207"/>
      <c r="L5" s="207"/>
      <c r="M5" s="207"/>
      <c r="N5" s="207"/>
      <c r="O5" s="207"/>
      <c r="P5" s="207"/>
      <c r="Q5" s="207"/>
      <c r="R5" s="207"/>
      <c r="S5" s="207"/>
      <c r="T5" s="207"/>
      <c r="U5" s="207"/>
      <c r="V5" s="207"/>
      <c r="W5" s="207"/>
    </row>
    <row r="6" spans="1:23" ht="12.45" customHeight="1" x14ac:dyDescent="0.25">
      <c r="A6" s="5">
        <v>3</v>
      </c>
      <c r="B6" s="168" t="s">
        <v>10</v>
      </c>
      <c r="C6" s="171">
        <v>2</v>
      </c>
      <c r="D6" s="1">
        <v>3.29</v>
      </c>
      <c r="E6" s="171">
        <v>0</v>
      </c>
      <c r="F6" s="171">
        <v>4.7300000000000004</v>
      </c>
      <c r="G6" s="172">
        <v>0.92300000000000004</v>
      </c>
      <c r="H6" s="173">
        <v>1.206</v>
      </c>
      <c r="J6" s="207"/>
      <c r="K6" s="207"/>
      <c r="L6" s="207"/>
      <c r="M6" s="207"/>
      <c r="N6" s="207"/>
      <c r="O6" s="207"/>
      <c r="P6" s="207"/>
      <c r="Q6" s="207"/>
      <c r="R6" s="207"/>
      <c r="S6" s="207"/>
      <c r="T6" s="207"/>
      <c r="U6" s="207"/>
      <c r="V6" s="207"/>
      <c r="W6" s="207"/>
    </row>
    <row r="7" spans="1:23" ht="12.45" customHeight="1" thickBot="1" x14ac:dyDescent="0.3">
      <c r="A7" s="7">
        <v>4</v>
      </c>
      <c r="B7" s="169" t="s">
        <v>11</v>
      </c>
      <c r="C7" s="8">
        <v>2.16</v>
      </c>
      <c r="D7" s="8">
        <v>5.67</v>
      </c>
      <c r="E7" s="8">
        <v>0</v>
      </c>
      <c r="F7" s="8">
        <v>12.39</v>
      </c>
      <c r="G7" s="9">
        <v>0.92300000000000004</v>
      </c>
      <c r="H7" s="10">
        <v>1.42</v>
      </c>
      <c r="J7" s="207"/>
      <c r="K7" s="207"/>
      <c r="L7" s="207"/>
      <c r="M7" s="207"/>
      <c r="N7" s="207"/>
      <c r="O7" s="207"/>
      <c r="P7" s="207"/>
      <c r="Q7" s="207"/>
      <c r="R7" s="207"/>
      <c r="S7" s="207"/>
      <c r="T7" s="207"/>
      <c r="U7" s="207"/>
      <c r="V7" s="207"/>
      <c r="W7" s="207"/>
    </row>
    <row r="8" spans="1:23" ht="12.45" customHeight="1" x14ac:dyDescent="0.25">
      <c r="J8" s="207"/>
      <c r="K8" s="207"/>
      <c r="L8" s="207"/>
      <c r="M8" s="207"/>
      <c r="N8" s="207"/>
      <c r="O8" s="207"/>
      <c r="P8" s="207"/>
      <c r="Q8" s="207"/>
      <c r="R8" s="207"/>
      <c r="S8" s="207"/>
      <c r="T8" s="207"/>
      <c r="U8" s="207"/>
      <c r="V8" s="207"/>
      <c r="W8" s="207"/>
    </row>
    <row r="9" spans="1:23" ht="12.45" customHeight="1" x14ac:dyDescent="0.25">
      <c r="J9" s="207"/>
      <c r="K9" s="207"/>
      <c r="L9" s="207"/>
      <c r="M9" s="207"/>
      <c r="N9" s="207"/>
      <c r="O9" s="207"/>
      <c r="P9" s="207"/>
      <c r="Q9" s="207"/>
      <c r="R9" s="207"/>
      <c r="S9" s="207"/>
      <c r="T9" s="207"/>
      <c r="U9" s="207"/>
      <c r="V9" s="207"/>
      <c r="W9" s="207"/>
    </row>
    <row r="10" spans="1:23" ht="12.45" customHeight="1" x14ac:dyDescent="0.25">
      <c r="J10" s="207"/>
      <c r="K10" s="207"/>
      <c r="L10" s="207"/>
      <c r="M10" s="207"/>
      <c r="N10" s="207"/>
      <c r="O10" s="207"/>
      <c r="P10" s="207"/>
      <c r="Q10" s="207"/>
      <c r="R10" s="207"/>
      <c r="S10" s="207"/>
      <c r="T10" s="207"/>
      <c r="U10" s="207"/>
      <c r="V10" s="207"/>
      <c r="W10" s="207"/>
    </row>
    <row r="11" spans="1:23" ht="12.45" customHeight="1" x14ac:dyDescent="0.25">
      <c r="J11" s="207"/>
      <c r="K11" s="207"/>
      <c r="L11" s="207"/>
      <c r="M11" s="207"/>
      <c r="N11" s="207"/>
      <c r="O11" s="207"/>
      <c r="P11" s="207"/>
      <c r="Q11" s="207"/>
      <c r="R11" s="207"/>
      <c r="S11" s="207"/>
      <c r="T11" s="207"/>
      <c r="U11" s="207"/>
      <c r="V11" s="207"/>
      <c r="W11" s="207"/>
    </row>
    <row r="12" spans="1:23" ht="12.45" customHeight="1" x14ac:dyDescent="0.25">
      <c r="J12" s="207"/>
      <c r="K12" s="207"/>
      <c r="L12" s="207"/>
      <c r="M12" s="207"/>
      <c r="N12" s="207"/>
      <c r="O12" s="207"/>
      <c r="P12" s="207"/>
      <c r="Q12" s="207"/>
      <c r="R12" s="207"/>
      <c r="S12" s="207"/>
      <c r="T12" s="207"/>
      <c r="U12" s="207"/>
      <c r="V12" s="207"/>
      <c r="W12" s="207"/>
    </row>
    <row r="13" spans="1:23" ht="12.45" customHeight="1" x14ac:dyDescent="0.25">
      <c r="J13" s="207"/>
      <c r="K13" s="207"/>
      <c r="L13" s="207"/>
      <c r="M13" s="207"/>
      <c r="N13" s="207"/>
      <c r="O13" s="207"/>
      <c r="P13" s="207"/>
      <c r="Q13" s="207"/>
      <c r="R13" s="207"/>
      <c r="S13" s="207"/>
      <c r="T13" s="207"/>
      <c r="U13" s="207"/>
      <c r="V13" s="207"/>
      <c r="W13" s="207"/>
    </row>
    <row r="14" spans="1:23" x14ac:dyDescent="0.25">
      <c r="J14" s="207"/>
      <c r="K14" s="207"/>
      <c r="L14" s="207"/>
      <c r="M14" s="207"/>
      <c r="N14" s="207"/>
      <c r="O14" s="207"/>
      <c r="P14" s="207"/>
      <c r="Q14" s="207"/>
      <c r="R14" s="207"/>
      <c r="S14" s="207"/>
      <c r="T14" s="207"/>
      <c r="U14" s="207"/>
      <c r="V14" s="207"/>
      <c r="W14" s="207"/>
    </row>
    <row r="15" spans="1:23" x14ac:dyDescent="0.25">
      <c r="J15" s="207"/>
      <c r="K15" s="207"/>
      <c r="L15" s="207"/>
      <c r="M15" s="207"/>
      <c r="N15" s="207"/>
      <c r="O15" s="207"/>
      <c r="P15" s="207"/>
      <c r="Q15" s="207"/>
      <c r="R15" s="207"/>
      <c r="S15" s="207"/>
      <c r="T15" s="207"/>
      <c r="U15" s="207"/>
      <c r="V15" s="207"/>
      <c r="W15" s="207"/>
    </row>
    <row r="16" spans="1:23" x14ac:dyDescent="0.25">
      <c r="J16" s="207"/>
      <c r="K16" s="207"/>
      <c r="L16" s="207"/>
      <c r="M16" s="207"/>
      <c r="N16" s="207"/>
      <c r="O16" s="207"/>
      <c r="P16" s="207"/>
      <c r="Q16" s="207"/>
      <c r="R16" s="207"/>
      <c r="S16" s="207"/>
      <c r="T16" s="207"/>
      <c r="U16" s="207"/>
      <c r="V16" s="207"/>
      <c r="W16" s="207"/>
    </row>
    <row r="17" spans="6:37" x14ac:dyDescent="0.25">
      <c r="J17" s="207"/>
      <c r="K17" s="207"/>
      <c r="L17" s="207"/>
      <c r="M17" s="207"/>
      <c r="N17" s="207"/>
      <c r="O17" s="207"/>
      <c r="P17" s="207"/>
      <c r="Q17" s="207"/>
      <c r="R17" s="207"/>
      <c r="S17" s="207"/>
      <c r="T17" s="207"/>
      <c r="U17" s="207"/>
      <c r="V17" s="207"/>
      <c r="W17" s="207"/>
    </row>
    <row r="18" spans="6:37" s="12" customFormat="1" x14ac:dyDescent="0.25">
      <c r="J18" s="207"/>
      <c r="K18" s="207"/>
      <c r="L18" s="207"/>
      <c r="M18" s="207"/>
      <c r="N18" s="207"/>
      <c r="O18" s="207"/>
      <c r="P18" s="207"/>
      <c r="Q18" s="207"/>
      <c r="R18" s="207"/>
      <c r="S18" s="207"/>
      <c r="T18" s="207"/>
      <c r="U18" s="207"/>
      <c r="V18" s="207"/>
      <c r="W18" s="207"/>
    </row>
    <row r="19" spans="6:37" s="12" customFormat="1" x14ac:dyDescent="0.25">
      <c r="J19" s="207"/>
      <c r="K19" s="207"/>
      <c r="L19" s="207"/>
      <c r="M19" s="207"/>
      <c r="N19" s="207"/>
      <c r="O19" s="207"/>
      <c r="P19" s="207"/>
      <c r="Q19" s="207"/>
      <c r="R19" s="207"/>
      <c r="S19" s="207"/>
      <c r="T19" s="207"/>
      <c r="U19" s="207"/>
      <c r="V19" s="207"/>
      <c r="W19" s="207"/>
    </row>
    <row r="20" spans="6:37" s="12" customFormat="1" x14ac:dyDescent="0.25">
      <c r="J20" s="207"/>
      <c r="K20" s="207"/>
      <c r="L20" s="207"/>
      <c r="M20" s="207"/>
      <c r="N20" s="207"/>
      <c r="O20" s="207"/>
      <c r="P20" s="207"/>
      <c r="Q20" s="207"/>
      <c r="R20" s="207"/>
      <c r="S20" s="207"/>
      <c r="T20" s="207"/>
      <c r="U20" s="207"/>
      <c r="V20" s="207"/>
      <c r="W20" s="207"/>
    </row>
    <row r="21" spans="6:37" s="12" customFormat="1" x14ac:dyDescent="0.25">
      <c r="J21" s="207"/>
      <c r="K21" s="207"/>
      <c r="L21" s="207"/>
      <c r="M21" s="207"/>
      <c r="N21" s="207"/>
      <c r="O21" s="207"/>
      <c r="P21" s="207"/>
      <c r="Q21" s="207"/>
      <c r="R21" s="207"/>
      <c r="S21" s="207"/>
      <c r="T21" s="207"/>
      <c r="U21" s="207"/>
      <c r="V21" s="207"/>
      <c r="W21" s="207"/>
    </row>
    <row r="22" spans="6:37" s="12" customFormat="1" x14ac:dyDescent="0.25">
      <c r="J22" s="207"/>
      <c r="K22" s="207"/>
      <c r="L22" s="207"/>
      <c r="M22" s="207"/>
      <c r="N22" s="207"/>
      <c r="O22" s="207"/>
      <c r="P22" s="207"/>
      <c r="Q22" s="207"/>
      <c r="R22" s="207"/>
      <c r="S22" s="207"/>
      <c r="T22" s="207"/>
      <c r="U22" s="207"/>
      <c r="V22" s="207"/>
      <c r="W22" s="207"/>
    </row>
    <row r="23" spans="6:37" s="12" customFormat="1" x14ac:dyDescent="0.25">
      <c r="J23" s="207"/>
      <c r="K23" s="207"/>
      <c r="L23" s="207"/>
      <c r="M23" s="207"/>
      <c r="N23" s="207"/>
      <c r="O23" s="207"/>
      <c r="P23" s="207"/>
      <c r="Q23" s="207"/>
      <c r="R23" s="207"/>
      <c r="S23" s="207"/>
      <c r="T23" s="207"/>
      <c r="U23" s="207"/>
      <c r="V23" s="207"/>
      <c r="W23" s="207"/>
    </row>
    <row r="24" spans="6:37" s="12" customFormat="1" x14ac:dyDescent="0.25">
      <c r="J24" s="208"/>
      <c r="K24" s="208"/>
      <c r="L24" s="208"/>
      <c r="M24" s="208"/>
      <c r="N24" s="208"/>
      <c r="O24" s="208"/>
      <c r="P24" s="208"/>
      <c r="Q24" s="208"/>
      <c r="R24" s="208"/>
      <c r="S24" s="208"/>
      <c r="T24" s="208"/>
      <c r="U24" s="208"/>
      <c r="V24" s="208"/>
      <c r="W24" s="208"/>
    </row>
    <row r="25" spans="6:37" s="12" customFormat="1" x14ac:dyDescent="0.25">
      <c r="J25" s="187"/>
      <c r="K25" s="187"/>
      <c r="L25" s="187"/>
      <c r="M25" s="187"/>
      <c r="N25" s="187"/>
      <c r="O25" s="187"/>
      <c r="P25" s="187"/>
      <c r="Q25" s="187"/>
      <c r="R25" s="187"/>
      <c r="S25" s="187"/>
      <c r="T25" s="187"/>
      <c r="U25" s="187"/>
      <c r="V25" s="187"/>
      <c r="W25" s="187"/>
    </row>
    <row r="26" spans="6:37" s="12" customFormat="1" ht="13.8" x14ac:dyDescent="0.25">
      <c r="F26"/>
      <c r="G26"/>
      <c r="H26"/>
      <c r="I26"/>
      <c r="J26" s="124"/>
      <c r="K26" s="124"/>
      <c r="L26" s="124"/>
      <c r="M26" s="124"/>
      <c r="N26" s="124"/>
      <c r="O26" s="124"/>
      <c r="P26" s="124"/>
      <c r="Q26" s="124"/>
      <c r="R26" s="124"/>
      <c r="S26" s="124"/>
      <c r="T26" s="124"/>
      <c r="U26" s="124"/>
      <c r="V26" s="124"/>
      <c r="W26" s="124"/>
      <c r="X26"/>
      <c r="Y26"/>
      <c r="Z26"/>
      <c r="AA26"/>
      <c r="AB26"/>
      <c r="AC26"/>
      <c r="AD26"/>
      <c r="AE26"/>
      <c r="AF26"/>
      <c r="AG26"/>
      <c r="AH26"/>
      <c r="AI26"/>
      <c r="AJ26"/>
      <c r="AK26"/>
    </row>
    <row r="27" spans="6:37" ht="13.8" x14ac:dyDescent="0.25">
      <c r="J27" s="124"/>
      <c r="K27" s="124"/>
      <c r="L27" s="124"/>
      <c r="M27" s="124"/>
      <c r="N27" s="124"/>
      <c r="O27" s="124"/>
      <c r="P27" s="124"/>
      <c r="Q27" s="124"/>
      <c r="R27" s="124"/>
      <c r="S27" s="124"/>
      <c r="T27" s="124"/>
      <c r="U27" s="124"/>
      <c r="V27" s="124"/>
      <c r="W27" s="124"/>
    </row>
  </sheetData>
  <sheetProtection selectLockedCells="1"/>
  <mergeCells count="6">
    <mergeCell ref="J2:W25"/>
    <mergeCell ref="A2:A3"/>
    <mergeCell ref="C2:D2"/>
    <mergeCell ref="E2:F2"/>
    <mergeCell ref="G2:H2"/>
    <mergeCell ref="B2:B3"/>
  </mergeCells>
  <phoneticPr fontId="0" type="noConversion"/>
  <dataValidations count="12">
    <dataValidation type="decimal" allowBlank="1" showErrorMessage="1" errorTitle="Вне допустимого диапазона" error="Допускаются значения до 5,67" prompt="_x000a_" sqref="D4:D7">
      <formula1>C4</formula1>
      <formula2>5.67</formula2>
    </dataValidation>
    <dataValidation type="decimal" allowBlank="1" showErrorMessage="1" errorTitle="Вне допустимого диапазона" prompt="_x000a_" sqref="C5 C7">
      <formula1>C4+0.01</formula1>
      <formula2>D5</formula2>
    </dataValidation>
    <dataValidation type="decimal" allowBlank="1" showErrorMessage="1" errorTitle="Вне допустимого диапазона" prompt="_x000a_" sqref="E7">
      <formula1>-15.56</formula1>
      <formula2>F7</formula2>
    </dataValidation>
    <dataValidation type="decimal" allowBlank="1" showErrorMessage="1" errorTitle="Вне допустимого диапазона" prompt="_x000a_" sqref="G7">
      <formula1>0.616</formula1>
      <formula2>H7</formula2>
    </dataValidation>
    <dataValidation type="decimal" allowBlank="1" showErrorMessage="1" errorTitle="Вне допустимого диапазона" prompt="_x000a_" sqref="H4:H7">
      <formula1>G4</formula1>
      <formula2>1.42</formula2>
    </dataValidation>
    <dataValidation type="decimal" allowBlank="1" showErrorMessage="1" errorTitle="Вне допустимого диапазона" prompt="_x000a_" sqref="C4 C6">
      <formula1>0.76</formula1>
      <formula2>D4</formula2>
    </dataValidation>
    <dataValidation type="decimal" allowBlank="1" showErrorMessage="1" errorTitle="Вне допустимого диапазона" prompt="_x000a_" sqref="E5">
      <formula1>-15.56</formula1>
      <formula2>F5</formula2>
    </dataValidation>
    <dataValidation type="decimal" allowBlank="1" showErrorMessage="1" errorTitle="Вне допустимого диапазона" prompt="_x000a_" sqref="F5">
      <formula1>E5</formula1>
      <formula2>12.59</formula2>
    </dataValidation>
    <dataValidation type="decimal" allowBlank="1" showErrorMessage="1" errorTitle="Вне допустимого диапазона" prompt="_x000a_" sqref="F4 F6">
      <formula1>E4</formula1>
      <formula2>12.59</formula2>
    </dataValidation>
    <dataValidation type="decimal" allowBlank="1" showErrorMessage="1" errorTitle="Вне допустимого диапазона" prompt="_x000a_" sqref="F7">
      <formula1>E7</formula1>
      <formula2>12.39</formula2>
    </dataValidation>
    <dataValidation type="decimal" allowBlank="1" showErrorMessage="1" errorTitle="Вне допустимого диапазона" prompt="_x000a_" sqref="G4:G6">
      <formula1>0.616</formula1>
      <formula2>H4</formula2>
    </dataValidation>
    <dataValidation type="decimal" allowBlank="1" showErrorMessage="1" errorTitle="Вне допустимого диапазона" prompt="_x000a_" sqref="E4 E6">
      <formula1>-15.31</formula1>
      <formula2>F4</formula2>
    </dataValidation>
  </dataValidations>
  <printOptions horizontalCentered="1"/>
  <pageMargins left="0.78740157480314965" right="0.78740157480314965" top="0.78740157480314965" bottom="0.78740157480314965" header="0" footer="0"/>
  <pageSetup paperSize="9" scale="72"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indexed="9"/>
    <pageSetUpPr fitToPage="1"/>
  </sheetPr>
  <dimension ref="A1:K103"/>
  <sheetViews>
    <sheetView showGridLines="0" tabSelected="1" zoomScale="90" zoomScaleNormal="90" workbookViewId="0">
      <selection sqref="A1:A2"/>
    </sheetView>
  </sheetViews>
  <sheetFormatPr defaultRowHeight="13.2" x14ac:dyDescent="0.25"/>
  <cols>
    <col min="1" max="1" width="7.88671875" customWidth="1"/>
    <col min="2" max="5" width="10.6640625" customWidth="1"/>
    <col min="6" max="6" width="7.33203125" customWidth="1"/>
    <col min="7" max="7" width="4.6640625" customWidth="1"/>
    <col min="8" max="8" width="11.6640625" customWidth="1"/>
    <col min="9" max="9" width="12.21875" customWidth="1"/>
    <col min="10" max="11" width="18.6640625" customWidth="1"/>
  </cols>
  <sheetData>
    <row r="1" spans="1:11" ht="12.45" customHeight="1" x14ac:dyDescent="0.25">
      <c r="A1" s="214" t="s">
        <v>14</v>
      </c>
      <c r="B1" s="214" t="s">
        <v>12</v>
      </c>
      <c r="C1" s="214"/>
      <c r="D1" s="214"/>
      <c r="E1" s="214"/>
      <c r="F1" s="217" t="s">
        <v>84</v>
      </c>
      <c r="G1" s="234" t="s">
        <v>21</v>
      </c>
      <c r="H1" s="235"/>
      <c r="I1" s="235"/>
      <c r="J1" s="235"/>
      <c r="K1" s="236"/>
    </row>
    <row r="2" spans="1:11" ht="12.45" customHeight="1" x14ac:dyDescent="0.25">
      <c r="A2" s="214"/>
      <c r="B2" s="31" t="str">
        <f>Породы!B4</f>
        <v>Mellifera</v>
      </c>
      <c r="C2" s="32" t="str">
        <f>Породы!B5</f>
        <v>Caucasica</v>
      </c>
      <c r="D2" s="32" t="str">
        <f>Породы!B6</f>
        <v>Ligustica</v>
      </c>
      <c r="E2" s="32" t="str">
        <f>Породы!B7</f>
        <v>Carnica</v>
      </c>
      <c r="F2" s="218"/>
      <c r="G2" s="237"/>
      <c r="H2" s="238"/>
      <c r="I2" s="238"/>
      <c r="J2" s="238"/>
      <c r="K2" s="239"/>
    </row>
    <row r="3" spans="1:11" ht="12.45" customHeight="1" x14ac:dyDescent="0.25">
      <c r="A3" s="33">
        <f>Индексы!A2</f>
        <v>1</v>
      </c>
      <c r="B3" s="31" t="str">
        <f>IF(AND(Индексы!B2&gt;=Породы!$C$4,Индексы!B2&lt;=Породы!$D$4,Индексы!C2&gt;=Породы!$E$4,Индексы!C2&lt;=Породы!$F$4,Индексы!D2&gt;=Породы!$G$4,Индексы!D2&lt;=Породы!$H$4),IF(Индексы!B2&gt;0,Породы!$B$4," ")," ")</f>
        <v>Mellifera</v>
      </c>
      <c r="C3" s="31" t="str">
        <f>IF(AND(Индексы!B2&gt;=Породы!$C$5,Индексы!B2&lt;=Породы!$D$5,Индексы!C2&gt;=Породы!$E$5,Индексы!C2&lt;=Породы!$F$5,Индексы!D2&gt;=Породы!$G$5,Индексы!D2&lt;=Породы!$H$5),IF(Индексы!B2&gt;0,Породы!$B$5," ")," ")</f>
        <v xml:space="preserve"> </v>
      </c>
      <c r="D3" s="31" t="str">
        <f>IF(AND(Индексы!B2&gt;=Породы!$C$6,Индексы!B2&lt;=Породы!$D$6,Индексы!C2&gt;=Породы!$E$6,Индексы!C2&lt;=Породы!$F$6,Индексы!D2&gt;=Породы!$G$6,Индексы!D2&lt;=Породы!$H$6),IF(Индексы!B2&gt;0,Породы!$B$6," ")," ")</f>
        <v xml:space="preserve"> </v>
      </c>
      <c r="E3" s="31" t="str">
        <f>IF(AND(Индексы!B2&gt;=Породы!$C$7,Индексы!B2&lt;=Породы!$D$7,Индексы!C2&gt;=Породы!$E$7,Индексы!C2&lt;=Породы!$F$7,Индексы!D2&gt;=Породы!$G$7,Индексы!D2&lt;=Породы!$H$7),IF(Индексы!B2&gt;0,Породы!$B$7," ")," ")</f>
        <v xml:space="preserve"> </v>
      </c>
      <c r="F3" s="141">
        <f>IF(A3&gt;0,Индексы!B2,"")</f>
        <v>1.5282767625015314</v>
      </c>
      <c r="G3" s="237"/>
      <c r="H3" s="238"/>
      <c r="I3" s="238"/>
      <c r="J3" s="238"/>
      <c r="K3" s="239"/>
    </row>
    <row r="4" spans="1:11" ht="12.45" customHeight="1" x14ac:dyDescent="0.25">
      <c r="A4" s="33">
        <f>Индексы!A3</f>
        <v>2</v>
      </c>
      <c r="B4" s="31" t="str">
        <f>IF(AND(Индексы!B3&gt;=Породы!$C$4,Индексы!B3&lt;=Породы!$D$4,Индексы!C3&gt;=Породы!$E$4,Индексы!C3&lt;=Породы!$F$4,Индексы!D3&gt;=Породы!$G$4,Индексы!D3&lt;=Породы!$H$4),IF(Индексы!B3&gt;0,Породы!$B$4," ")," ")</f>
        <v>Mellifera</v>
      </c>
      <c r="C4" s="31" t="str">
        <f>IF(AND(Индексы!B3&gt;=Породы!$C$5,Индексы!B3&lt;=Породы!$D$5,Индексы!C3&gt;=Породы!$E$5,Индексы!C3&lt;=Породы!$F$5,Индексы!D3&gt;=Породы!$G$5,Индексы!D3&lt;=Породы!$H$5),IF(Индексы!B3&gt;0,Породы!$B$5," ")," ")</f>
        <v xml:space="preserve"> </v>
      </c>
      <c r="D4" s="31" t="str">
        <f>IF(AND(Индексы!B3&gt;=Породы!$C$6,Индексы!B3&lt;=Породы!$D$6,Индексы!C3&gt;=Породы!$E$6,Индексы!C3&lt;=Породы!$F$6,Индексы!D3&gt;=Породы!$G$6,Индексы!D3&lt;=Породы!$H$6),IF(Индексы!B3&gt;0,Породы!$B$6," ")," ")</f>
        <v xml:space="preserve"> </v>
      </c>
      <c r="E4" s="31" t="str">
        <f>IF(AND(Индексы!B3&gt;=Породы!$C$7,Индексы!B3&lt;=Породы!$D$7,Индексы!C3&gt;=Породы!$E$7,Индексы!C3&lt;=Породы!$F$7,Индексы!D3&gt;=Породы!$G$7,Индексы!D3&lt;=Породы!$H$7),IF(Индексы!B3&gt;0,Породы!$B$7," ")," ")</f>
        <v xml:space="preserve"> </v>
      </c>
      <c r="F4" s="141">
        <f>IF(A4&gt;0,Индексы!B3,"")</f>
        <v>1.9164555202344393</v>
      </c>
      <c r="G4" s="237"/>
      <c r="H4" s="238"/>
      <c r="I4" s="238"/>
      <c r="J4" s="238"/>
      <c r="K4" s="239"/>
    </row>
    <row r="5" spans="1:11" ht="12.45" customHeight="1" x14ac:dyDescent="0.25">
      <c r="A5" s="33">
        <f>Индексы!A4</f>
        <v>3</v>
      </c>
      <c r="B5" s="31" t="str">
        <f>IF(AND(Индексы!B4&gt;=Породы!$C$4,Индексы!B4&lt;=Породы!$D$4,Индексы!C4&gt;=Породы!$E$4,Индексы!C4&lt;=Породы!$F$4,Индексы!D4&gt;=Породы!$G$4,Индексы!D4&lt;=Породы!$H$4),IF(Индексы!B4&gt;0,Породы!$B$4," ")," ")</f>
        <v>Mellifera</v>
      </c>
      <c r="C5" s="31" t="str">
        <f>IF(AND(Индексы!B4&gt;=Породы!$C$5,Индексы!B4&lt;=Породы!$D$5,Индексы!C4&gt;=Породы!$E$5,Индексы!C4&lt;=Породы!$F$5,Индексы!D4&gt;=Породы!$G$5,Индексы!D4&lt;=Породы!$H$5),IF(Индексы!B4&gt;0,Породы!$B$5," ")," ")</f>
        <v xml:space="preserve"> </v>
      </c>
      <c r="D5" s="31" t="str">
        <f>IF(AND(Индексы!B4&gt;=Породы!$C$6,Индексы!B4&lt;=Породы!$D$6,Индексы!C4&gt;=Породы!$E$6,Индексы!C4&lt;=Породы!$F$6,Индексы!D4&gt;=Породы!$G$6,Индексы!D4&lt;=Породы!$H$6),IF(Индексы!B4&gt;0,Породы!$B$6," ")," ")</f>
        <v xml:space="preserve"> </v>
      </c>
      <c r="E5" s="31" t="str">
        <f>IF(AND(Индексы!B4&gt;=Породы!$C$7,Индексы!B4&lt;=Породы!$D$7,Индексы!C4&gt;=Породы!$E$7,Индексы!C4&lt;=Породы!$F$7,Индексы!D4&gt;=Породы!$G$7,Индексы!D4&lt;=Породы!$H$7),IF(Индексы!B4&gt;0,Породы!$B$7," ")," ")</f>
        <v xml:space="preserve"> </v>
      </c>
      <c r="F5" s="141">
        <f>IF(A5&gt;0,Индексы!B4,"")</f>
        <v>1.6440810344746601</v>
      </c>
      <c r="G5" s="237"/>
      <c r="H5" s="238"/>
      <c r="I5" s="238"/>
      <c r="J5" s="238"/>
      <c r="K5" s="239"/>
    </row>
    <row r="6" spans="1:11" ht="12.45" customHeight="1" x14ac:dyDescent="0.25">
      <c r="A6" s="33">
        <f>Индексы!A5</f>
        <v>4</v>
      </c>
      <c r="B6" s="31" t="str">
        <f>IF(AND(Индексы!B5&gt;=Породы!$C$4,Индексы!B5&lt;=Породы!$D$4,Индексы!C5&gt;=Породы!$E$4,Индексы!C5&lt;=Породы!$F$4,Индексы!D5&gt;=Породы!$G$4,Индексы!D5&lt;=Породы!$H$4),IF(Индексы!B5&gt;0,Породы!$B$4," ")," ")</f>
        <v>Mellifera</v>
      </c>
      <c r="C6" s="31" t="str">
        <f>IF(AND(Индексы!B5&gt;=Породы!$C$5,Индексы!B5&lt;=Породы!$D$5,Индексы!C5&gt;=Породы!$E$5,Индексы!C5&lt;=Породы!$F$5,Индексы!D5&gt;=Породы!$G$5,Индексы!D5&lt;=Породы!$H$5),IF(Индексы!B5&gt;0,Породы!$B$5," ")," ")</f>
        <v xml:space="preserve"> </v>
      </c>
      <c r="D6" s="31" t="str">
        <f>IF(AND(Индексы!B5&gt;=Породы!$C$6,Индексы!B5&lt;=Породы!$D$6,Индексы!C5&gt;=Породы!$E$6,Индексы!C5&lt;=Породы!$F$6,Индексы!D5&gt;=Породы!$G$6,Индексы!D5&lt;=Породы!$H$6),IF(Индексы!B5&gt;0,Породы!$B$6," ")," ")</f>
        <v xml:space="preserve"> </v>
      </c>
      <c r="E6" s="31" t="str">
        <f>IF(AND(Индексы!B5&gt;=Породы!$C$7,Индексы!B5&lt;=Породы!$D$7,Индексы!C5&gt;=Породы!$E$7,Индексы!C5&lt;=Породы!$F$7,Индексы!D5&gt;=Породы!$G$7,Индексы!D5&lt;=Породы!$H$7),IF(Индексы!B5&gt;0,Породы!$B$7," ")," ")</f>
        <v xml:space="preserve"> </v>
      </c>
      <c r="F6" s="141">
        <f>IF(A6&gt;0,Индексы!B5,"")</f>
        <v>1.9920147757720568</v>
      </c>
      <c r="G6" s="237"/>
      <c r="H6" s="238"/>
      <c r="I6" s="238"/>
      <c r="J6" s="238"/>
      <c r="K6" s="239"/>
    </row>
    <row r="7" spans="1:11" ht="12.45" customHeight="1" x14ac:dyDescent="0.25">
      <c r="A7" s="33">
        <f>Индексы!A6</f>
        <v>5</v>
      </c>
      <c r="B7" s="31" t="str">
        <f>IF(AND(Индексы!B6&gt;=Породы!$C$4,Индексы!B6&lt;=Породы!$D$4,Индексы!C6&gt;=Породы!$E$4,Индексы!C6&lt;=Породы!$F$4,Индексы!D6&gt;=Породы!$G$4,Индексы!D6&lt;=Породы!$H$4),IF(Индексы!B6&gt;0,Породы!$B$4," ")," ")</f>
        <v>Mellifera</v>
      </c>
      <c r="C7" s="31" t="str">
        <f>IF(AND(Индексы!B6&gt;=Породы!$C$5,Индексы!B6&lt;=Породы!$D$5,Индексы!C6&gt;=Породы!$E$5,Индексы!C6&lt;=Породы!$F$5,Индексы!D6&gt;=Породы!$G$5,Индексы!D6&lt;=Породы!$H$5),IF(Индексы!B6&gt;0,Породы!$B$5," ")," ")</f>
        <v xml:space="preserve"> </v>
      </c>
      <c r="D7" s="31" t="str">
        <f>IF(AND(Индексы!B6&gt;=Породы!$C$6,Индексы!B6&lt;=Породы!$D$6,Индексы!C6&gt;=Породы!$E$6,Индексы!C6&lt;=Породы!$F$6,Индексы!D6&gt;=Породы!$G$6,Индексы!D6&lt;=Породы!$H$6),IF(Индексы!B6&gt;0,Породы!$B$6," ")," ")</f>
        <v xml:space="preserve"> </v>
      </c>
      <c r="E7" s="31" t="str">
        <f>IF(AND(Индексы!B6&gt;=Породы!$C$7,Индексы!B6&lt;=Породы!$D$7,Индексы!C6&gt;=Породы!$E$7,Индексы!C6&lt;=Породы!$F$7,Индексы!D6&gt;=Породы!$G$7,Индексы!D6&lt;=Породы!$H$7),IF(Индексы!B6&gt;0,Породы!$B$7," ")," ")</f>
        <v xml:space="preserve"> </v>
      </c>
      <c r="F7" s="141">
        <f>IF(A7&gt;0,Индексы!B6,"")</f>
        <v>1.4109272143878087</v>
      </c>
      <c r="G7" s="237"/>
      <c r="H7" s="238"/>
      <c r="I7" s="238"/>
      <c r="J7" s="238"/>
      <c r="K7" s="239"/>
    </row>
    <row r="8" spans="1:11" ht="13.05" customHeight="1" x14ac:dyDescent="0.25">
      <c r="A8" s="33">
        <f>Индексы!A7</f>
        <v>6</v>
      </c>
      <c r="B8" s="31" t="str">
        <f>IF(AND(Индексы!B7&gt;=Породы!$C$4,Индексы!B7&lt;=Породы!$D$4,Индексы!C7&gt;=Породы!$E$4,Индексы!C7&lt;=Породы!$F$4,Индексы!D7&gt;=Породы!$G$4,Индексы!D7&lt;=Породы!$H$4),IF(Индексы!B7&gt;0,Породы!$B$4," ")," ")</f>
        <v>Mellifera</v>
      </c>
      <c r="C8" s="31" t="str">
        <f>IF(AND(Индексы!B7&gt;=Породы!$C$5,Индексы!B7&lt;=Породы!$D$5,Индексы!C7&gt;=Породы!$E$5,Индексы!C7&lt;=Породы!$F$5,Индексы!D7&gt;=Породы!$G$5,Индексы!D7&lt;=Породы!$H$5),IF(Индексы!B7&gt;0,Породы!$B$5," ")," ")</f>
        <v xml:space="preserve"> </v>
      </c>
      <c r="D8" s="31" t="str">
        <f>IF(AND(Индексы!B7&gt;=Породы!$C$6,Индексы!B7&lt;=Породы!$D$6,Индексы!C7&gt;=Породы!$E$6,Индексы!C7&lt;=Породы!$F$6,Индексы!D7&gt;=Породы!$G$6,Индексы!D7&lt;=Породы!$H$6),IF(Индексы!B7&gt;0,Породы!$B$6," ")," ")</f>
        <v xml:space="preserve"> </v>
      </c>
      <c r="E8" s="31" t="str">
        <f>IF(AND(Индексы!B7&gt;=Породы!$C$7,Индексы!B7&lt;=Породы!$D$7,Индексы!C7&gt;=Породы!$E$7,Индексы!C7&lt;=Породы!$F$7,Индексы!D7&gt;=Породы!$G$7,Индексы!D7&lt;=Породы!$H$7),IF(Индексы!B7&gt;0,Породы!$B$7," ")," ")</f>
        <v xml:space="preserve"> </v>
      </c>
      <c r="F8" s="141">
        <f>IF(A8&gt;0,Индексы!B7,"")</f>
        <v>1.5483148380786116</v>
      </c>
      <c r="G8" s="237"/>
      <c r="H8" s="238"/>
      <c r="I8" s="238"/>
      <c r="J8" s="238"/>
      <c r="K8" s="239"/>
    </row>
    <row r="9" spans="1:11" ht="12.45" customHeight="1" x14ac:dyDescent="0.25">
      <c r="A9" s="33">
        <f>Индексы!A8</f>
        <v>7</v>
      </c>
      <c r="B9" s="31" t="str">
        <f>IF(AND(Индексы!B8&gt;=Породы!$C$4,Индексы!B8&lt;=Породы!$D$4,Индексы!C8&gt;=Породы!$E$4,Индексы!C8&lt;=Породы!$F$4,Индексы!D8&gt;=Породы!$G$4,Индексы!D8&lt;=Породы!$H$4),IF(Индексы!B8&gt;0,Породы!$B$4," ")," ")</f>
        <v>Mellifera</v>
      </c>
      <c r="C9" s="31" t="str">
        <f>IF(AND(Индексы!B8&gt;=Породы!$C$5,Индексы!B8&lt;=Породы!$D$5,Индексы!C8&gt;=Породы!$E$5,Индексы!C8&lt;=Породы!$F$5,Индексы!D8&gt;=Породы!$G$5,Индексы!D8&lt;=Породы!$H$5),IF(Индексы!B8&gt;0,Породы!$B$5," ")," ")</f>
        <v xml:space="preserve"> </v>
      </c>
      <c r="D9" s="31" t="str">
        <f>IF(AND(Индексы!B8&gt;=Породы!$C$6,Индексы!B8&lt;=Породы!$D$6,Индексы!C8&gt;=Породы!$E$6,Индексы!C8&lt;=Породы!$F$6,Индексы!D8&gt;=Породы!$G$6,Индексы!D8&lt;=Породы!$H$6),IF(Индексы!B8&gt;0,Породы!$B$6," ")," ")</f>
        <v xml:space="preserve"> </v>
      </c>
      <c r="E9" s="31" t="str">
        <f>IF(AND(Индексы!B8&gt;=Породы!$C$7,Индексы!B8&lt;=Породы!$D$7,Индексы!C8&gt;=Породы!$E$7,Индексы!C8&lt;=Породы!$F$7,Индексы!D8&gt;=Породы!$G$7,Индексы!D8&lt;=Породы!$H$7),IF(Индексы!B8&gt;0,Породы!$B$7," ")," ")</f>
        <v xml:space="preserve"> </v>
      </c>
      <c r="F9" s="141">
        <f>IF(A9&gt;0,Индексы!B8,"")</f>
        <v>1.663250547532251</v>
      </c>
      <c r="G9" s="237"/>
      <c r="H9" s="238"/>
      <c r="I9" s="238"/>
      <c r="J9" s="238"/>
      <c r="K9" s="239"/>
    </row>
    <row r="10" spans="1:11" ht="12.45" customHeight="1" x14ac:dyDescent="0.25">
      <c r="A10" s="33">
        <f>Индексы!A9</f>
        <v>8</v>
      </c>
      <c r="B10" s="31" t="str">
        <f>IF(AND(Индексы!B9&gt;=Породы!$C$4,Индексы!B9&lt;=Породы!$D$4,Индексы!C9&gt;=Породы!$E$4,Индексы!C9&lt;=Породы!$F$4,Индексы!D9&gt;=Породы!$G$4,Индексы!D9&lt;=Породы!$H$4),IF(Индексы!B9&gt;0,Породы!$B$4," ")," ")</f>
        <v>Mellifera</v>
      </c>
      <c r="C10" s="31" t="str">
        <f>IF(AND(Индексы!B9&gt;=Породы!$C$5,Индексы!B9&lt;=Породы!$D$5,Индексы!C9&gt;=Породы!$E$5,Индексы!C9&lt;=Породы!$F$5,Индексы!D9&gt;=Породы!$G$5,Индексы!D9&lt;=Породы!$H$5),IF(Индексы!B9&gt;0,Породы!$B$5," ")," ")</f>
        <v xml:space="preserve"> </v>
      </c>
      <c r="D10" s="31" t="str">
        <f>IF(AND(Индексы!B9&gt;=Породы!$C$6,Индексы!B9&lt;=Породы!$D$6,Индексы!C9&gt;=Породы!$E$6,Индексы!C9&lt;=Породы!$F$6,Индексы!D9&gt;=Породы!$G$6,Индексы!D9&lt;=Породы!$H$6),IF(Индексы!B9&gt;0,Породы!$B$6," ")," ")</f>
        <v xml:space="preserve"> </v>
      </c>
      <c r="E10" s="31" t="str">
        <f>IF(AND(Индексы!B9&gt;=Породы!$C$7,Индексы!B9&lt;=Породы!$D$7,Индексы!C9&gt;=Породы!$E$7,Индексы!C9&lt;=Породы!$F$7,Индексы!D9&gt;=Породы!$G$7,Индексы!D9&lt;=Породы!$H$7),IF(Индексы!B9&gt;0,Породы!$B$7," ")," ")</f>
        <v xml:space="preserve"> </v>
      </c>
      <c r="F10" s="141">
        <f>IF(A10&gt;0,Индексы!B9,"")</f>
        <v>1.6113729101070193</v>
      </c>
      <c r="G10" s="237"/>
      <c r="H10" s="238"/>
      <c r="I10" s="238"/>
      <c r="J10" s="238"/>
      <c r="K10" s="239"/>
    </row>
    <row r="11" spans="1:11" ht="12.45" customHeight="1" x14ac:dyDescent="0.25">
      <c r="A11" s="33">
        <f>Индексы!A10</f>
        <v>9</v>
      </c>
      <c r="B11" s="31" t="str">
        <f>IF(AND(Индексы!B10&gt;=Породы!$C$4,Индексы!B10&lt;=Породы!$D$4,Индексы!C10&gt;=Породы!$E$4,Индексы!C10&lt;=Породы!$F$4,Индексы!D10&gt;=Породы!$G$4,Индексы!D10&lt;=Породы!$H$4),IF(Индексы!B10&gt;0,Породы!$B$4," ")," ")</f>
        <v>Mellifera</v>
      </c>
      <c r="C11" s="31" t="str">
        <f>IF(AND(Индексы!B10&gt;=Породы!$C$5,Индексы!B10&lt;=Породы!$D$5,Индексы!C10&gt;=Породы!$E$5,Индексы!C10&lt;=Породы!$F$5,Индексы!D10&gt;=Породы!$G$5,Индексы!D10&lt;=Породы!$H$5),IF(Индексы!B10&gt;0,Породы!$B$5," ")," ")</f>
        <v xml:space="preserve"> </v>
      </c>
      <c r="D11" s="31" t="str">
        <f>IF(AND(Индексы!B10&gt;=Породы!$C$6,Индексы!B10&lt;=Породы!$D$6,Индексы!C10&gt;=Породы!$E$6,Индексы!C10&lt;=Породы!$F$6,Индексы!D10&gt;=Породы!$G$6,Индексы!D10&lt;=Породы!$H$6),IF(Индексы!B10&gt;0,Породы!$B$6," ")," ")</f>
        <v xml:space="preserve"> </v>
      </c>
      <c r="E11" s="31" t="str">
        <f>IF(AND(Индексы!B10&gt;=Породы!$C$7,Индексы!B10&lt;=Породы!$D$7,Индексы!C10&gt;=Породы!$E$7,Индексы!C10&lt;=Породы!$F$7,Индексы!D10&gt;=Породы!$G$7,Индексы!D10&lt;=Породы!$H$7),IF(Индексы!B10&gt;0,Породы!$B$7," ")," ")</f>
        <v xml:space="preserve"> </v>
      </c>
      <c r="F11" s="141">
        <f>IF(A11&gt;0,Индексы!B10,"")</f>
        <v>1.3612874354651794</v>
      </c>
      <c r="G11" s="237"/>
      <c r="H11" s="238"/>
      <c r="I11" s="238"/>
      <c r="J11" s="238"/>
      <c r="K11" s="239"/>
    </row>
    <row r="12" spans="1:11" ht="12.45" customHeight="1" x14ac:dyDescent="0.25">
      <c r="A12" s="33">
        <f>Индексы!A11</f>
        <v>10</v>
      </c>
      <c r="B12" s="31" t="str">
        <f>IF(AND(Индексы!B11&gt;=Породы!$C$4,Индексы!B11&lt;=Породы!$D$4,Индексы!C11&gt;=Породы!$E$4,Индексы!C11&lt;=Породы!$F$4,Индексы!D11&gt;=Породы!$G$4,Индексы!D11&lt;=Породы!$H$4),IF(Индексы!B11&gt;0,Породы!$B$4," ")," ")</f>
        <v>Mellifera</v>
      </c>
      <c r="C12" s="31" t="str">
        <f>IF(AND(Индексы!B11&gt;=Породы!$C$5,Индексы!B11&lt;=Породы!$D$5,Индексы!C11&gt;=Породы!$E$5,Индексы!C11&lt;=Породы!$F$5,Индексы!D11&gt;=Породы!$G$5,Индексы!D11&lt;=Породы!$H$5),IF(Индексы!B11&gt;0,Породы!$B$5," ")," ")</f>
        <v xml:space="preserve"> </v>
      </c>
      <c r="D12" s="31" t="str">
        <f>IF(AND(Индексы!B11&gt;=Породы!$C$6,Индексы!B11&lt;=Породы!$D$6,Индексы!C11&gt;=Породы!$E$6,Индексы!C11&lt;=Породы!$F$6,Индексы!D11&gt;=Породы!$G$6,Индексы!D11&lt;=Породы!$H$6),IF(Индексы!B11&gt;0,Породы!$B$6," ")," ")</f>
        <v xml:space="preserve"> </v>
      </c>
      <c r="E12" s="31" t="str">
        <f>IF(AND(Индексы!B11&gt;=Породы!$C$7,Индексы!B11&lt;=Породы!$D$7,Индексы!C11&gt;=Породы!$E$7,Индексы!C11&lt;=Породы!$F$7,Индексы!D11&gt;=Породы!$G$7,Индексы!D11&lt;=Породы!$H$7),IF(Индексы!B11&gt;0,Породы!$B$7," ")," ")</f>
        <v xml:space="preserve"> </v>
      </c>
      <c r="F12" s="141">
        <f>IF(A12&gt;0,Индексы!B11,"")</f>
        <v>1.5079561080918844</v>
      </c>
      <c r="G12" s="237"/>
      <c r="H12" s="238"/>
      <c r="I12" s="238"/>
      <c r="J12" s="238"/>
      <c r="K12" s="239"/>
    </row>
    <row r="13" spans="1:11" ht="12.45" customHeight="1" x14ac:dyDescent="0.25">
      <c r="A13" s="33">
        <f>Индексы!A12</f>
        <v>11</v>
      </c>
      <c r="B13" s="31" t="str">
        <f>IF(AND(Индексы!B12&gt;=Породы!$C$4,Индексы!B12&lt;=Породы!$D$4,Индексы!C12&gt;=Породы!$E$4,Индексы!C12&lt;=Породы!$F$4,Индексы!D12&gt;=Породы!$G$4,Индексы!D12&lt;=Породы!$H$4),IF(Индексы!B12&gt;0,Породы!$B$4," ")," ")</f>
        <v>Mellifera</v>
      </c>
      <c r="C13" s="31" t="str">
        <f>IF(AND(Индексы!B12&gt;=Породы!$C$5,Индексы!B12&lt;=Породы!$D$5,Индексы!C12&gt;=Породы!$E$5,Индексы!C12&lt;=Породы!$F$5,Индексы!D12&gt;=Породы!$G$5,Индексы!D12&lt;=Породы!$H$5),IF(Индексы!B12&gt;0,Породы!$B$5," ")," ")</f>
        <v xml:space="preserve"> </v>
      </c>
      <c r="D13" s="31" t="str">
        <f>IF(AND(Индексы!B12&gt;=Породы!$C$6,Индексы!B12&lt;=Породы!$D$6,Индексы!C12&gt;=Породы!$E$6,Индексы!C12&lt;=Породы!$F$6,Индексы!D12&gt;=Породы!$G$6,Индексы!D12&lt;=Породы!$H$6),IF(Индексы!B12&gt;0,Породы!$B$6," ")," ")</f>
        <v xml:space="preserve"> </v>
      </c>
      <c r="E13" s="31" t="str">
        <f>IF(AND(Индексы!B12&gt;=Породы!$C$7,Индексы!B12&lt;=Породы!$D$7,Индексы!C12&gt;=Породы!$E$7,Индексы!C12&lt;=Породы!$F$7,Индексы!D12&gt;=Породы!$G$7,Индексы!D12&lt;=Породы!$H$7),IF(Индексы!B12&gt;0,Породы!$B$7," ")," ")</f>
        <v xml:space="preserve"> </v>
      </c>
      <c r="F13" s="141">
        <f>IF(A13&gt;0,Индексы!B12,"")</f>
        <v>1.5252636058549101</v>
      </c>
      <c r="G13" s="237"/>
      <c r="H13" s="238"/>
      <c r="I13" s="238"/>
      <c r="J13" s="238"/>
      <c r="K13" s="239"/>
    </row>
    <row r="14" spans="1:11" ht="12.45" customHeight="1" x14ac:dyDescent="0.25">
      <c r="A14" s="33">
        <f>Индексы!A13</f>
        <v>12</v>
      </c>
      <c r="B14" s="31" t="str">
        <f>IF(AND(Индексы!B13&gt;=Породы!$C$4,Индексы!B13&lt;=Породы!$D$4,Индексы!C13&gt;=Породы!$E$4,Индексы!C13&lt;=Породы!$F$4,Индексы!D13&gt;=Породы!$G$4,Индексы!D13&lt;=Породы!$H$4),IF(Индексы!B13&gt;0,Породы!$B$4," ")," ")</f>
        <v>Mellifera</v>
      </c>
      <c r="C14" s="31" t="str">
        <f>IF(AND(Индексы!B13&gt;=Породы!$C$5,Индексы!B13&lt;=Породы!$D$5,Индексы!C13&gt;=Породы!$E$5,Индексы!C13&lt;=Породы!$F$5,Индексы!D13&gt;=Породы!$G$5,Индексы!D13&lt;=Породы!$H$5),IF(Индексы!B13&gt;0,Породы!$B$5," ")," ")</f>
        <v xml:space="preserve"> </v>
      </c>
      <c r="D14" s="31" t="str">
        <f>IF(AND(Индексы!B13&gt;=Породы!$C$6,Индексы!B13&lt;=Породы!$D$6,Индексы!C13&gt;=Породы!$E$6,Индексы!C13&lt;=Породы!$F$6,Индексы!D13&gt;=Породы!$G$6,Индексы!D13&lt;=Породы!$H$6),IF(Индексы!B13&gt;0,Породы!$B$6," ")," ")</f>
        <v xml:space="preserve"> </v>
      </c>
      <c r="E14" s="31" t="str">
        <f>IF(AND(Индексы!B13&gt;=Породы!$C$7,Индексы!B13&lt;=Породы!$D$7,Индексы!C13&gt;=Породы!$E$7,Индексы!C13&lt;=Породы!$F$7,Индексы!D13&gt;=Породы!$G$7,Индексы!D13&lt;=Породы!$H$7),IF(Индексы!B13&gt;0,Породы!$B$7," ")," ")</f>
        <v xml:space="preserve"> </v>
      </c>
      <c r="F14" s="141">
        <f>IF(A14&gt;0,Индексы!B13,"")</f>
        <v>1.3078050972936459</v>
      </c>
      <c r="G14" s="237"/>
      <c r="H14" s="238"/>
      <c r="I14" s="238"/>
      <c r="J14" s="238"/>
      <c r="K14" s="239"/>
    </row>
    <row r="15" spans="1:11" ht="12.45" customHeight="1" x14ac:dyDescent="0.25">
      <c r="A15" s="33">
        <f>Индексы!A14</f>
        <v>13</v>
      </c>
      <c r="B15" s="31" t="str">
        <f>IF(AND(Индексы!B14&gt;=Породы!$C$4,Индексы!B14&lt;=Породы!$D$4,Индексы!C14&gt;=Породы!$E$4,Индексы!C14&lt;=Породы!$F$4,Индексы!D14&gt;=Породы!$G$4,Индексы!D14&lt;=Породы!$H$4),IF(Индексы!B14&gt;0,Породы!$B$4," ")," ")</f>
        <v>Mellifera</v>
      </c>
      <c r="C15" s="31" t="str">
        <f>IF(AND(Индексы!B14&gt;=Породы!$C$5,Индексы!B14&lt;=Породы!$D$5,Индексы!C14&gt;=Породы!$E$5,Индексы!C14&lt;=Породы!$F$5,Индексы!D14&gt;=Породы!$G$5,Индексы!D14&lt;=Породы!$H$5),IF(Индексы!B14&gt;0,Породы!$B$5," ")," ")</f>
        <v xml:space="preserve"> </v>
      </c>
      <c r="D15" s="31" t="str">
        <f>IF(AND(Индексы!B14&gt;=Породы!$C$6,Индексы!B14&lt;=Породы!$D$6,Индексы!C14&gt;=Породы!$E$6,Индексы!C14&lt;=Породы!$F$6,Индексы!D14&gt;=Породы!$G$6,Индексы!D14&lt;=Породы!$H$6),IF(Индексы!B14&gt;0,Породы!$B$6," ")," ")</f>
        <v xml:space="preserve"> </v>
      </c>
      <c r="E15" s="31" t="str">
        <f>IF(AND(Индексы!B14&gt;=Породы!$C$7,Индексы!B14&lt;=Породы!$D$7,Индексы!C14&gt;=Породы!$E$7,Индексы!C14&lt;=Породы!$F$7,Индексы!D14&gt;=Породы!$G$7,Индексы!D14&lt;=Породы!$H$7),IF(Индексы!B14&gt;0,Породы!$B$7," ")," ")</f>
        <v xml:space="preserve"> </v>
      </c>
      <c r="F15" s="141">
        <f>IF(A15&gt;0,Индексы!B14,"")</f>
        <v>1.5893902422370587</v>
      </c>
      <c r="G15" s="237"/>
      <c r="H15" s="238"/>
      <c r="I15" s="238"/>
      <c r="J15" s="238"/>
      <c r="K15" s="239"/>
    </row>
    <row r="16" spans="1:11" ht="12.45" customHeight="1" x14ac:dyDescent="0.25">
      <c r="A16" s="33">
        <f>Индексы!A15</f>
        <v>0</v>
      </c>
      <c r="B16" s="31" t="str">
        <f>IF(AND(Индексы!B15&gt;=Породы!$C$4,Индексы!B15&lt;=Породы!$D$4,Индексы!C15&gt;=Породы!$E$4,Индексы!C15&lt;=Породы!$F$4,Индексы!D15&gt;=Породы!$G$4,Индексы!D15&lt;=Породы!$H$4),IF(Индексы!B15&gt;0,Породы!$B$4," ")," ")</f>
        <v xml:space="preserve"> </v>
      </c>
      <c r="C16" s="31" t="str">
        <f>IF(AND(Индексы!B15&gt;=Породы!$C$5,Индексы!B15&lt;=Породы!$D$5,Индексы!C15&gt;=Породы!$E$5,Индексы!C15&lt;=Породы!$F$5,Индексы!D15&gt;=Породы!$G$5,Индексы!D15&lt;=Породы!$H$5),IF(Индексы!B15&gt;0,Породы!$B$5," ")," ")</f>
        <v xml:space="preserve"> </v>
      </c>
      <c r="D16" s="31" t="str">
        <f>IF(AND(Индексы!B15&gt;=Породы!$C$6,Индексы!B15&lt;=Породы!$D$6,Индексы!C15&gt;=Породы!$E$6,Индексы!C15&lt;=Породы!$F$6,Индексы!D15&gt;=Породы!$G$6,Индексы!D15&lt;=Породы!$H$6),IF(Индексы!B15&gt;0,Породы!$B$6," ")," ")</f>
        <v xml:space="preserve"> </v>
      </c>
      <c r="E16" s="31" t="str">
        <f>IF(AND(Индексы!B15&gt;=Породы!$C$7,Индексы!B15&lt;=Породы!$D$7,Индексы!C15&gt;=Породы!$E$7,Индексы!C15&lt;=Породы!$F$7,Индексы!D15&gt;=Породы!$G$7,Индексы!D15&lt;=Породы!$H$7),IF(Индексы!B15&gt;0,Породы!$B$7," ")," ")</f>
        <v xml:space="preserve"> </v>
      </c>
      <c r="F16" s="141" t="str">
        <f>IF(A16&gt;0,Индексы!B15,"")</f>
        <v/>
      </c>
      <c r="G16" s="237"/>
      <c r="H16" s="238"/>
      <c r="I16" s="238"/>
      <c r="J16" s="238"/>
      <c r="K16" s="239"/>
    </row>
    <row r="17" spans="1:11" ht="12.45" customHeight="1" thickBot="1" x14ac:dyDescent="0.3">
      <c r="A17" s="33">
        <f>Индексы!A16</f>
        <v>0</v>
      </c>
      <c r="B17" s="31" t="str">
        <f>IF(AND(Индексы!B16&gt;=Породы!$C$4,Индексы!B16&lt;=Породы!$D$4,Индексы!C16&gt;=Породы!$E$4,Индексы!C16&lt;=Породы!$F$4,Индексы!D16&gt;=Породы!$G$4,Индексы!D16&lt;=Породы!$H$4),IF(Индексы!B16&gt;0,Породы!$B$4," ")," ")</f>
        <v xml:space="preserve"> </v>
      </c>
      <c r="C17" s="31" t="str">
        <f>IF(AND(Индексы!B16&gt;=Породы!$C$5,Индексы!B16&lt;=Породы!$D$5,Индексы!C16&gt;=Породы!$E$5,Индексы!C16&lt;=Породы!$F$5,Индексы!D16&gt;=Породы!$G$5,Индексы!D16&lt;=Породы!$H$5),IF(Индексы!B16&gt;0,Породы!$B$5," ")," ")</f>
        <v xml:space="preserve"> </v>
      </c>
      <c r="D17" s="31" t="str">
        <f>IF(AND(Индексы!B16&gt;=Породы!$C$6,Индексы!B16&lt;=Породы!$D$6,Индексы!C16&gt;=Породы!$E$6,Индексы!C16&lt;=Породы!$F$6,Индексы!D16&gt;=Породы!$G$6,Индексы!D16&lt;=Породы!$H$6),IF(Индексы!B16&gt;0,Породы!$B$6," ")," ")</f>
        <v xml:space="preserve"> </v>
      </c>
      <c r="E17" s="31" t="str">
        <f>IF(AND(Индексы!B16&gt;=Породы!$C$7,Индексы!B16&lt;=Породы!$D$7,Индексы!C16&gt;=Породы!$E$7,Индексы!C16&lt;=Породы!$F$7,Индексы!D16&gt;=Породы!$G$7,Индексы!D16&lt;=Породы!$H$7),IF(Индексы!B16&gt;0,Породы!$B$7," ")," ")</f>
        <v xml:space="preserve"> </v>
      </c>
      <c r="F17" s="141" t="str">
        <f>IF(A17&gt;0,Индексы!B16,"")</f>
        <v/>
      </c>
      <c r="G17" s="240"/>
      <c r="H17" s="241"/>
      <c r="I17" s="241"/>
      <c r="J17" s="241"/>
      <c r="K17" s="242"/>
    </row>
    <row r="18" spans="1:11" ht="12.45" customHeight="1" thickBot="1" x14ac:dyDescent="0.3">
      <c r="A18" s="33">
        <f>Индексы!A17</f>
        <v>0</v>
      </c>
      <c r="B18" s="31" t="str">
        <f>IF(AND(Индексы!B17&gt;=Породы!$C$4,Индексы!B17&lt;=Породы!$D$4,Индексы!C17&gt;=Породы!$E$4,Индексы!C17&lt;=Породы!$F$4,Индексы!D17&gt;=Породы!$G$4,Индексы!D17&lt;=Породы!$H$4),IF(Индексы!B17&gt;0,Породы!$B$4," ")," ")</f>
        <v xml:space="preserve"> </v>
      </c>
      <c r="C18" s="31" t="str">
        <f>IF(AND(Индексы!B17&gt;=Породы!$C$5,Индексы!B17&lt;=Породы!$D$5,Индексы!C17&gt;=Породы!$E$5,Индексы!C17&lt;=Породы!$F$5,Индексы!D17&gt;=Породы!$G$5,Индексы!D17&lt;=Породы!$H$5),IF(Индексы!B17&gt;0,Породы!$B$5," ")," ")</f>
        <v xml:space="preserve"> </v>
      </c>
      <c r="D18" s="31" t="str">
        <f>IF(AND(Индексы!B17&gt;=Породы!$C$6,Индексы!B17&lt;=Породы!$D$6,Индексы!C17&gt;=Породы!$E$6,Индексы!C17&lt;=Породы!$F$6,Индексы!D17&gt;=Породы!$G$6,Индексы!D17&lt;=Породы!$H$6),IF(Индексы!B17&gt;0,Породы!$B$6," ")," ")</f>
        <v xml:space="preserve"> </v>
      </c>
      <c r="E18" s="31" t="str">
        <f>IF(AND(Индексы!B17&gt;=Породы!$C$7,Индексы!B17&lt;=Породы!$D$7,Индексы!C17&gt;=Породы!$E$7,Индексы!C17&lt;=Породы!$F$7,Индексы!D17&gt;=Породы!$G$7,Индексы!D17&lt;=Породы!$H$7),IF(Индексы!B17&gt;0,Породы!$B$7," ")," ")</f>
        <v xml:space="preserve"> </v>
      </c>
      <c r="F18" s="78" t="str">
        <f>IF(A18&gt;0,Индексы!B17,"")</f>
        <v/>
      </c>
      <c r="G18" s="35" t="s">
        <v>48</v>
      </c>
      <c r="H18" s="30"/>
      <c r="I18" s="30"/>
      <c r="J18" s="30"/>
      <c r="K18" s="30"/>
    </row>
    <row r="19" spans="1:11" ht="12.45" customHeight="1" x14ac:dyDescent="0.25">
      <c r="A19" s="33">
        <f>Индексы!A18</f>
        <v>0</v>
      </c>
      <c r="B19" s="31" t="str">
        <f>IF(AND(Индексы!B18&gt;=Породы!$C$4,Индексы!B18&lt;=Породы!$D$4,Индексы!C18&gt;=Породы!$E$4,Индексы!C18&lt;=Породы!$F$4,Индексы!D18&gt;=Породы!$G$4,Индексы!D18&lt;=Породы!$H$4),IF(Индексы!B18&gt;0,Породы!$B$4," ")," ")</f>
        <v xml:space="preserve"> </v>
      </c>
      <c r="C19" s="31" t="str">
        <f>IF(AND(Индексы!B18&gt;=Породы!$C$5,Индексы!B18&lt;=Породы!$D$5,Индексы!C18&gt;=Породы!$E$5,Индексы!C18&lt;=Породы!$F$5,Индексы!D18&gt;=Породы!$G$5,Индексы!D18&lt;=Породы!$H$5),IF(Индексы!B18&gt;0,Породы!$B$5," ")," ")</f>
        <v xml:space="preserve"> </v>
      </c>
      <c r="D19" s="31" t="str">
        <f>IF(AND(Индексы!B18&gt;=Породы!$C$6,Индексы!B18&lt;=Породы!$D$6,Индексы!C18&gt;=Породы!$E$6,Индексы!C18&lt;=Породы!$F$6,Индексы!D18&gt;=Породы!$G$6,Индексы!D18&lt;=Породы!$H$6),IF(Индексы!B18&gt;0,Породы!$B$6," ")," ")</f>
        <v xml:space="preserve"> </v>
      </c>
      <c r="E19" s="31" t="str">
        <f>IF(AND(Индексы!B18&gt;=Породы!$C$7,Индексы!B18&lt;=Породы!$D$7,Индексы!C18&gt;=Породы!$E$7,Индексы!C18&lt;=Породы!$F$7,Индексы!D18&gt;=Породы!$G$7,Индексы!D18&lt;=Породы!$H$7),IF(Индексы!B18&gt;0,Породы!$B$7," ")," ")</f>
        <v xml:space="preserve"> </v>
      </c>
      <c r="F19" s="78" t="str">
        <f>IF(A19&gt;0,Индексы!B18,"")</f>
        <v/>
      </c>
      <c r="G19" s="30"/>
      <c r="H19" s="225" t="s">
        <v>3</v>
      </c>
      <c r="I19" s="228" t="s">
        <v>33</v>
      </c>
      <c r="J19" s="215" t="s">
        <v>131</v>
      </c>
      <c r="K19" s="216"/>
    </row>
    <row r="20" spans="1:11" ht="12.45" customHeight="1" x14ac:dyDescent="0.25">
      <c r="A20" s="33">
        <f>Индексы!A19</f>
        <v>0</v>
      </c>
      <c r="B20" s="31" t="str">
        <f>IF(AND(Индексы!B19&gt;=Породы!$C$4,Индексы!B19&lt;=Породы!$D$4,Индексы!C19&gt;=Породы!$E$4,Индексы!C19&lt;=Породы!$F$4,Индексы!D19&gt;=Породы!$G$4,Индексы!D19&lt;=Породы!$H$4),IF(Индексы!B19&gt;0,Породы!$B$4," ")," ")</f>
        <v xml:space="preserve"> </v>
      </c>
      <c r="C20" s="31" t="str">
        <f>IF(AND(Индексы!B19&gt;=Породы!$C$5,Индексы!B19&lt;=Породы!$D$5,Индексы!C19&gt;=Породы!$E$5,Индексы!C19&lt;=Породы!$F$5,Индексы!D19&gt;=Породы!$G$5,Индексы!D19&lt;=Породы!$H$5),IF(Индексы!B19&gt;0,Породы!$B$5," ")," ")</f>
        <v xml:space="preserve"> </v>
      </c>
      <c r="D20" s="31" t="str">
        <f>IF(AND(Индексы!B19&gt;=Породы!$C$6,Индексы!B19&lt;=Породы!$D$6,Индексы!C19&gt;=Породы!$E$6,Индексы!C19&lt;=Породы!$F$6,Индексы!D19&gt;=Породы!$G$6,Индексы!D19&lt;=Породы!$H$6),IF(Индексы!B19&gt;0,Породы!$B$6," ")," ")</f>
        <v xml:space="preserve"> </v>
      </c>
      <c r="E20" s="31" t="str">
        <f>IF(AND(Индексы!B19&gt;=Породы!$C$7,Индексы!B19&lt;=Породы!$D$7,Индексы!C19&gt;=Породы!$E$7,Индексы!C19&lt;=Породы!$F$7,Индексы!D19&gt;=Породы!$G$7,Индексы!D19&lt;=Породы!$H$7),IF(Индексы!B19&gt;0,Породы!$B$7," ")," ")</f>
        <v xml:space="preserve"> </v>
      </c>
      <c r="F20" s="78" t="str">
        <f>IF(A20&gt;0,Индексы!B19,"")</f>
        <v/>
      </c>
      <c r="G20" s="30"/>
      <c r="H20" s="226"/>
      <c r="I20" s="229"/>
      <c r="J20" s="231" t="s">
        <v>133</v>
      </c>
      <c r="K20" s="232" t="s">
        <v>132</v>
      </c>
    </row>
    <row r="21" spans="1:11" ht="12.45" customHeight="1" x14ac:dyDescent="0.25">
      <c r="A21" s="33">
        <f>Индексы!A20</f>
        <v>0</v>
      </c>
      <c r="B21" s="31" t="str">
        <f>IF(AND(Индексы!B20&gt;=Породы!$C$4,Индексы!B20&lt;=Породы!$D$4,Индексы!C20&gt;=Породы!$E$4,Индексы!C20&lt;=Породы!$F$4,Индексы!D20&gt;=Породы!$G$4,Индексы!D20&lt;=Породы!$H$4),IF(Индексы!B20&gt;0,Породы!$B$4," ")," ")</f>
        <v xml:space="preserve"> </v>
      </c>
      <c r="C21" s="31" t="str">
        <f>IF(AND(Индексы!B20&gt;=Породы!$C$5,Индексы!B20&lt;=Породы!$D$5,Индексы!C20&gt;=Породы!$E$5,Индексы!C20&lt;=Породы!$F$5,Индексы!D20&gt;=Породы!$G$5,Индексы!D20&lt;=Породы!$H$5),IF(Индексы!B20&gt;0,Породы!$B$5," ")," ")</f>
        <v xml:space="preserve"> </v>
      </c>
      <c r="D21" s="31" t="str">
        <f>IF(AND(Индексы!B20&gt;=Породы!$C$6,Индексы!B20&lt;=Породы!$D$6,Индексы!C20&gt;=Породы!$E$6,Индексы!C20&lt;=Породы!$F$6,Индексы!D20&gt;=Породы!$G$6,Индексы!D20&lt;=Породы!$H$6),IF(Индексы!B20&gt;0,Породы!$B$6," ")," ")</f>
        <v xml:space="preserve"> </v>
      </c>
      <c r="E21" s="31" t="str">
        <f>IF(AND(Индексы!B20&gt;=Породы!$C$7,Индексы!B20&lt;=Породы!$D$7,Индексы!C20&gt;=Породы!$E$7,Индексы!C20&lt;=Породы!$F$7,Индексы!D20&gt;=Породы!$G$7,Индексы!D20&lt;=Породы!$H$7),IF(Индексы!B20&gt;0,Породы!$B$7," ")," ")</f>
        <v xml:space="preserve"> </v>
      </c>
      <c r="F21" s="78" t="str">
        <f>IF(A21&gt;0,Индексы!B20,"")</f>
        <v/>
      </c>
      <c r="G21" s="30"/>
      <c r="H21" s="226"/>
      <c r="I21" s="229"/>
      <c r="J21" s="231"/>
      <c r="K21" s="232"/>
    </row>
    <row r="22" spans="1:11" ht="12.45" customHeight="1" x14ac:dyDescent="0.25">
      <c r="A22" s="33">
        <f>Индексы!A21</f>
        <v>0</v>
      </c>
      <c r="B22" s="31" t="str">
        <f>IF(AND(Индексы!B21&gt;=Породы!$C$4,Индексы!B21&lt;=Породы!$D$4,Индексы!C21&gt;=Породы!$E$4,Индексы!C21&lt;=Породы!$F$4,Индексы!D21&gt;=Породы!$G$4,Индексы!D21&lt;=Породы!$H$4),IF(Индексы!B21&gt;0,Породы!$B$4," ")," ")</f>
        <v xml:space="preserve"> </v>
      </c>
      <c r="C22" s="31" t="str">
        <f>IF(AND(Индексы!B21&gt;=Породы!$C$5,Индексы!B21&lt;=Породы!$D$5,Индексы!C21&gt;=Породы!$E$5,Индексы!C21&lt;=Породы!$F$5,Индексы!D21&gt;=Породы!$G$5,Индексы!D21&lt;=Породы!$H$5),IF(Индексы!B21&gt;0,Породы!$B$5," ")," ")</f>
        <v xml:space="preserve"> </v>
      </c>
      <c r="D22" s="31" t="str">
        <f>IF(AND(Индексы!B21&gt;=Породы!$C$6,Индексы!B21&lt;=Породы!$D$6,Индексы!C21&gt;=Породы!$E$6,Индексы!C21&lt;=Породы!$F$6,Индексы!D21&gt;=Породы!$G$6,Индексы!D21&lt;=Породы!$H$6),IF(Индексы!B21&gt;0,Породы!$B$6," ")," ")</f>
        <v xml:space="preserve"> </v>
      </c>
      <c r="E22" s="31" t="str">
        <f>IF(AND(Индексы!B21&gt;=Породы!$C$7,Индексы!B21&lt;=Породы!$D$7,Индексы!C21&gt;=Породы!$E$7,Индексы!C21&lt;=Породы!$F$7,Индексы!D21&gt;=Породы!$G$7,Индексы!D21&lt;=Породы!$H$7),IF(Индексы!B21&gt;0,Породы!$B$7," ")," ")</f>
        <v xml:space="preserve"> </v>
      </c>
      <c r="F22" s="78" t="str">
        <f>IF(A22&gt;0,Индексы!B21,"")</f>
        <v/>
      </c>
      <c r="G22" s="30"/>
      <c r="H22" s="227"/>
      <c r="I22" s="230"/>
      <c r="J22" s="230"/>
      <c r="K22" s="233"/>
    </row>
    <row r="23" spans="1:11" ht="12.45" customHeight="1" x14ac:dyDescent="0.25">
      <c r="A23" s="33">
        <f>Индексы!A22</f>
        <v>0</v>
      </c>
      <c r="B23" s="31" t="str">
        <f>IF(AND(Индексы!B22&gt;=Породы!$C$4,Индексы!B22&lt;=Породы!$D$4,Индексы!C22&gt;=Породы!$E$4,Индексы!C22&lt;=Породы!$F$4,Индексы!D22&gt;=Породы!$G$4,Индексы!D22&lt;=Породы!$H$4),IF(Индексы!B22&gt;0,Породы!$B$4," ")," ")</f>
        <v xml:space="preserve"> </v>
      </c>
      <c r="C23" s="31" t="str">
        <f>IF(AND(Индексы!B22&gt;=Породы!$C$5,Индексы!B22&lt;=Породы!$D$5,Индексы!C22&gt;=Породы!$E$5,Индексы!C22&lt;=Породы!$F$5,Индексы!D22&gt;=Породы!$G$5,Индексы!D22&lt;=Породы!$H$5),IF(Индексы!B22&gt;0,Породы!$B$5," ")," ")</f>
        <v xml:space="preserve"> </v>
      </c>
      <c r="D23" s="31" t="str">
        <f>IF(AND(Индексы!B22&gt;=Породы!$C$6,Индексы!B22&lt;=Породы!$D$6,Индексы!C22&gt;=Породы!$E$6,Индексы!C22&lt;=Породы!$F$6,Индексы!D22&gt;=Породы!$G$6,Индексы!D22&lt;=Породы!$H$6),IF(Индексы!B22&gt;0,Породы!$B$6," ")," ")</f>
        <v xml:space="preserve"> </v>
      </c>
      <c r="E23" s="31" t="str">
        <f>IF(AND(Индексы!B22&gt;=Породы!$C$7,Индексы!B22&lt;=Породы!$D$7,Индексы!C22&gt;=Породы!$E$7,Индексы!C22&lt;=Породы!$F$7,Индексы!D22&gt;=Породы!$G$7,Индексы!D22&lt;=Породы!$H$7),IF(Индексы!B22&gt;0,Породы!$B$7," ")," ")</f>
        <v xml:space="preserve"> </v>
      </c>
      <c r="F23" s="78" t="str">
        <f>IF(A23&gt;0,Индексы!B22,"")</f>
        <v/>
      </c>
      <c r="G23" s="30"/>
      <c r="H23" s="36" t="str">
        <f>Породы!B4</f>
        <v>Mellifera</v>
      </c>
      <c r="I23" s="27">
        <f>COUNTIF($B$3:$E$102,Породы!B4)</f>
        <v>13</v>
      </c>
      <c r="J23" s="37">
        <f>ROUND(I23/COUNTIF(Индексы!$B$2:$B$101,"&gt;0"),3)</f>
        <v>1</v>
      </c>
      <c r="K23" s="115">
        <f>IF(AND(Индексы!B109&gt;=Породы!C4,Индексы!B108&lt;=Породы!D4),(IF(Индексы!$B$109&gt;=Породы!D4,Породы!D4,Индексы!$B$109)-IF(Индексы!$B$108&gt;=Породы!C4,Индексы!$B$108,Породы!C4)),0)*IF(AND(Индексы!C109&gt;=Породы!E4,Индексы!C108&lt;=Породы!F4),(IF(Индексы!$C$109&gt;=Породы!F4,Породы!F4,Индексы!$C$109)-IF(Индексы!$C$108&gt;=Породы!E4,Индексы!$C$108,Породы!E4)),0)*IF(AND(Индексы!D109&gt;=Породы!G4,Индексы!D108&lt;=Породы!H4),(IF(Индексы!$D$109&gt;=Породы!H4,Породы!H4,Индексы!$D$109)-IF(Индексы!$D$108&gt;=Породы!G4,Индексы!$D$108,Породы!G4)),0)/((Индексы!$B$109-Индексы!$B$108)*(Индексы!$C$109-Индексы!$C$108)*(Индексы!$D$109-Индексы!$D$108))</f>
        <v>1</v>
      </c>
    </row>
    <row r="24" spans="1:11" ht="12.45" customHeight="1" x14ac:dyDescent="0.25">
      <c r="A24" s="33">
        <f>Индексы!A23</f>
        <v>0</v>
      </c>
      <c r="B24" s="31" t="str">
        <f>IF(AND(Индексы!B23&gt;=Породы!$C$4,Индексы!B23&lt;=Породы!$D$4,Индексы!C23&gt;=Породы!$E$4,Индексы!C23&lt;=Породы!$F$4,Индексы!D23&gt;=Породы!$G$4,Индексы!D23&lt;=Породы!$H$4),IF(Индексы!B23&gt;0,Породы!$B$4," ")," ")</f>
        <v xml:space="preserve"> </v>
      </c>
      <c r="C24" s="31" t="str">
        <f>IF(AND(Индексы!B23&gt;=Породы!$C$5,Индексы!B23&lt;=Породы!$D$5,Индексы!C23&gt;=Породы!$E$5,Индексы!C23&lt;=Породы!$F$5,Индексы!D23&gt;=Породы!$G$5,Индексы!D23&lt;=Породы!$H$5),IF(Индексы!B23&gt;0,Породы!$B$5," ")," ")</f>
        <v xml:space="preserve"> </v>
      </c>
      <c r="D24" s="31" t="str">
        <f>IF(AND(Индексы!B23&gt;=Породы!$C$6,Индексы!B23&lt;=Породы!$D$6,Индексы!C23&gt;=Породы!$E$6,Индексы!C23&lt;=Породы!$F$6,Индексы!D23&gt;=Породы!$G$6,Индексы!D23&lt;=Породы!$H$6),IF(Индексы!B23&gt;0,Породы!$B$6," ")," ")</f>
        <v xml:space="preserve"> </v>
      </c>
      <c r="E24" s="31" t="str">
        <f>IF(AND(Индексы!B23&gt;=Породы!$C$7,Индексы!B23&lt;=Породы!$D$7,Индексы!C23&gt;=Породы!$E$7,Индексы!C23&lt;=Породы!$F$7,Индексы!D23&gt;=Породы!$G$7,Индексы!D23&lt;=Породы!$H$7),IF(Индексы!B23&gt;0,Породы!$B$7," ")," ")</f>
        <v xml:space="preserve"> </v>
      </c>
      <c r="F24" s="78" t="str">
        <f>IF(A24&gt;0,Индексы!B23,"")</f>
        <v/>
      </c>
      <c r="G24" s="30"/>
      <c r="H24" s="38" t="str">
        <f>Породы!B5</f>
        <v>Caucasica</v>
      </c>
      <c r="I24" s="39">
        <f>COUNTIF($B$3:$E$102,Породы!B5)</f>
        <v>0</v>
      </c>
      <c r="J24" s="40">
        <f>ROUND(I24/COUNTIF(Индексы!$B$2:$B$101,"&gt;0"),3)</f>
        <v>0</v>
      </c>
      <c r="K24" s="116">
        <f>IF(AND(Индексы!B109&gt;=Породы!C5,Индексы!B108&lt;=Породы!D5),(IF(Индексы!$B$109&gt;=Породы!D5,Породы!D5,Индексы!$B$109)-IF(Индексы!$B$108&gt;=Породы!C5,Индексы!$B$108,Породы!C5)),0)*IF(AND(Индексы!C109&gt;=Породы!E5,Индексы!C108&lt;=Породы!F5),(IF(Индексы!$C$109&gt;=Породы!F5,Породы!F5,Индексы!$C$109)-IF(Индексы!$C$108&gt;=Породы!E5,Индексы!$C$108,Породы!E5)),0)*IF(AND(Индексы!D109&gt;=Породы!G5,Индексы!D108&lt;=Породы!H5),(IF(Индексы!$D$109&gt;=Породы!H5,Породы!H5,Индексы!$D$109)-IF(Индексы!$D$108&gt;=Породы!G5,Индексы!$D$108,Породы!G5)),0)/((Индексы!$B$109-Индексы!$B$108)*(Индексы!$C$109-Индексы!$C$108)*(Индексы!$D$109-Индексы!$D$108))</f>
        <v>2.8879837517111272E-3</v>
      </c>
    </row>
    <row r="25" spans="1:11" ht="12.45" customHeight="1" x14ac:dyDescent="0.25">
      <c r="A25" s="33">
        <f>Индексы!A24</f>
        <v>0</v>
      </c>
      <c r="B25" s="31" t="str">
        <f>IF(AND(Индексы!B24&gt;=Породы!$C$4,Индексы!B24&lt;=Породы!$D$4,Индексы!C24&gt;=Породы!$E$4,Индексы!C24&lt;=Породы!$F$4,Индексы!D24&gt;=Породы!$G$4,Индексы!D24&lt;=Породы!$H$4),IF(Индексы!B24&gt;0,Породы!$B$4," ")," ")</f>
        <v xml:space="preserve"> </v>
      </c>
      <c r="C25" s="31" t="str">
        <f>IF(AND(Индексы!B24&gt;=Породы!$C$5,Индексы!B24&lt;=Породы!$D$5,Индексы!C24&gt;=Породы!$E$5,Индексы!C24&lt;=Породы!$F$5,Индексы!D24&gt;=Породы!$G$5,Индексы!D24&lt;=Породы!$H$5),IF(Индексы!B24&gt;0,Породы!$B$5," ")," ")</f>
        <v xml:space="preserve"> </v>
      </c>
      <c r="D25" s="31" t="str">
        <f>IF(AND(Индексы!B24&gt;=Породы!$C$6,Индексы!B24&lt;=Породы!$D$6,Индексы!C24&gt;=Породы!$E$6,Индексы!C24&lt;=Породы!$F$6,Индексы!D24&gt;=Породы!$G$6,Индексы!D24&lt;=Породы!$H$6),IF(Индексы!B24&gt;0,Породы!$B$6," ")," ")</f>
        <v xml:space="preserve"> </v>
      </c>
      <c r="E25" s="31" t="str">
        <f>IF(AND(Индексы!B24&gt;=Породы!$C$7,Индексы!B24&lt;=Породы!$D$7,Индексы!C24&gt;=Породы!$E$7,Индексы!C24&lt;=Породы!$F$7,Индексы!D24&gt;=Породы!$G$7,Индексы!D24&lt;=Породы!$H$7),IF(Индексы!B24&gt;0,Породы!$B$7," ")," ")</f>
        <v xml:space="preserve"> </v>
      </c>
      <c r="F25" s="78" t="str">
        <f>IF(A25&gt;0,Индексы!B24,"")</f>
        <v/>
      </c>
      <c r="G25" s="30"/>
      <c r="H25" s="41" t="str">
        <f>Породы!B6</f>
        <v>Ligustica</v>
      </c>
      <c r="I25" s="42">
        <f>COUNTIF($B$3:$E$102,Породы!B6)</f>
        <v>0</v>
      </c>
      <c r="J25" s="43">
        <f>ROUND(I25/COUNTIF(Индексы!$B$2:$B$101,"&gt;0"),3)</f>
        <v>0</v>
      </c>
      <c r="K25" s="117">
        <f>IF(AND(Индексы!B109&gt;=Породы!C6,Индексы!B108&lt;=Породы!D6),(IF(Индексы!$B$109&gt;=Породы!D6,Породы!D6,Индексы!$B$109)-IF(Индексы!$B$108&gt;=Породы!C6,Индексы!$B$108,Породы!C6)),0)*IF(AND(Индексы!D109&gt;=Породы!G6,Индексы!D108&lt;=Породы!H6),(IF(Индексы!$C$109&gt;=Породы!F6,Породы!F6,Индексы!$C$109)-IF(Индексы!$C$108&gt;=Породы!E6,Индексы!$C$108,Породы!E6)),0)*IF(AND(Индексы!D109&gt;=Породы!G6,Индексы!D108&lt;=Породы!H6),(IF(Индексы!$D$109&gt;=Породы!H6,Породы!H6,Индексы!$D$109)-IF(Индексы!$D$108&gt;=Породы!G6,Индексы!$D$108,Породы!G6)),0)/((Индексы!$B$109-Индексы!$B$108)*(Индексы!$C$109-Индексы!$C$108)*(Индексы!$D$109-Индексы!$D$108))</f>
        <v>0</v>
      </c>
    </row>
    <row r="26" spans="1:11" ht="12.45" customHeight="1" thickBot="1" x14ac:dyDescent="0.3">
      <c r="A26" s="33">
        <f>Индексы!A25</f>
        <v>0</v>
      </c>
      <c r="B26" s="31" t="str">
        <f>IF(AND(Индексы!B25&gt;=Породы!$C$4,Индексы!B25&lt;=Породы!$D$4,Индексы!C25&gt;=Породы!$E$4,Индексы!C25&lt;=Породы!$F$4,Индексы!D25&gt;=Породы!$G$4,Индексы!D25&lt;=Породы!$H$4),IF(Индексы!B25&gt;0,Породы!$B$4," ")," ")</f>
        <v xml:space="preserve"> </v>
      </c>
      <c r="C26" s="31" t="str">
        <f>IF(AND(Индексы!B25&gt;=Породы!$C$5,Индексы!B25&lt;=Породы!$D$5,Индексы!C25&gt;=Породы!$E$5,Индексы!C25&lt;=Породы!$F$5,Индексы!D25&gt;=Породы!$G$5,Индексы!D25&lt;=Породы!$H$5),IF(Индексы!B25&gt;0,Породы!$B$5," ")," ")</f>
        <v xml:space="preserve"> </v>
      </c>
      <c r="D26" s="31" t="str">
        <f>IF(AND(Индексы!B25&gt;=Породы!$C$6,Индексы!B25&lt;=Породы!$D$6,Индексы!C25&gt;=Породы!$E$6,Индексы!C25&lt;=Породы!$F$6,Индексы!D25&gt;=Породы!$G$6,Индексы!D25&lt;=Породы!$H$6),IF(Индексы!B25&gt;0,Породы!$B$6," ")," ")</f>
        <v xml:space="preserve"> </v>
      </c>
      <c r="E26" s="31" t="str">
        <f>IF(AND(Индексы!B25&gt;=Породы!$C$7,Индексы!B25&lt;=Породы!$D$7,Индексы!C25&gt;=Породы!$E$7,Индексы!C25&lt;=Породы!$F$7,Индексы!D25&gt;=Породы!$G$7,Индексы!D25&lt;=Породы!$H$7),IF(Индексы!B25&gt;0,Породы!$B$7," ")," ")</f>
        <v xml:space="preserve"> </v>
      </c>
      <c r="F26" s="78" t="str">
        <f>IF(A26&gt;0,Индексы!B25,"")</f>
        <v/>
      </c>
      <c r="G26" s="47"/>
      <c r="H26" s="44" t="str">
        <f>Породы!B7</f>
        <v>Carnica</v>
      </c>
      <c r="I26" s="45">
        <f>COUNTIF($B$3:$E$102,Породы!B7)</f>
        <v>0</v>
      </c>
      <c r="J26" s="46">
        <f>ROUND(I26/COUNTIF(Индексы!$B$2:$B$101,"&gt;0"),3)</f>
        <v>0</v>
      </c>
      <c r="K26" s="118">
        <f>IF(AND(Индексы!B109&gt;=Породы!C7,Индексы!B108&lt;=Породы!D7),(IF(Индексы!$B$109&gt;=Породы!D7,Породы!D7,Индексы!$B$109)-IF(Индексы!$B$108&gt;=Породы!C7,Индексы!$B$108,Породы!C7)),0)*IF(AND(Индексы!D109&gt;=Породы!G7,Индексы!D108&lt;=Породы!H7),(IF(Индексы!$C$109&gt;=Породы!F7,Породы!F7,Индексы!$C$109)-IF(Индексы!$C$108&gt;=Породы!E7,Индексы!$C$108,Породы!E7)),0)*IF(AND(Индексы!D109&gt;=Породы!G7,Индексы!D108&lt;=Породы!H7),(IF(Индексы!$D$109&gt;=Породы!H7,Породы!H7,Индексы!$D$109)-IF(Индексы!$D$108&gt;=Породы!G7,Индексы!$D$108,Породы!G7)),0)/((Индексы!$B$109-Индексы!$B$108)*(Индексы!$C$109-Индексы!$C$108)*(Индексы!$D$109-Индексы!$D$108))</f>
        <v>0</v>
      </c>
    </row>
    <row r="27" spans="1:11" ht="13.2" customHeight="1" thickBot="1" x14ac:dyDescent="0.3">
      <c r="A27" s="33">
        <f>Индексы!A26</f>
        <v>0</v>
      </c>
      <c r="B27" s="31" t="str">
        <f>IF(AND(Индексы!B26&gt;=Породы!$C$4,Индексы!B26&lt;=Породы!$D$4,Индексы!C26&gt;=Породы!$E$4,Индексы!C26&lt;=Породы!$F$4,Индексы!D26&gt;=Породы!$G$4,Индексы!D26&lt;=Породы!$H$4),IF(Индексы!B26&gt;0,Породы!$B$4," ")," ")</f>
        <v xml:space="preserve"> </v>
      </c>
      <c r="C27" s="31" t="str">
        <f>IF(AND(Индексы!B26&gt;=Породы!$C$5,Индексы!B26&lt;=Породы!$D$5,Индексы!C26&gt;=Породы!$E$5,Индексы!C26&lt;=Породы!$F$5,Индексы!D26&gt;=Породы!$G$5,Индексы!D26&lt;=Породы!$H$5),IF(Индексы!B26&gt;0,Породы!$B$5," ")," ")</f>
        <v xml:space="preserve"> </v>
      </c>
      <c r="D27" s="31" t="str">
        <f>IF(AND(Индексы!B26&gt;=Породы!$C$6,Индексы!B26&lt;=Породы!$D$6,Индексы!C26&gt;=Породы!$E$6,Индексы!C26&lt;=Породы!$F$6,Индексы!D26&gt;=Породы!$G$6,Индексы!D26&lt;=Породы!$H$6),IF(Индексы!B26&gt;0,Породы!$B$6," ")," ")</f>
        <v xml:space="preserve"> </v>
      </c>
      <c r="E27" s="31" t="str">
        <f>IF(AND(Индексы!B26&gt;=Породы!$C$7,Индексы!B26&lt;=Породы!$D$7,Индексы!C26&gt;=Породы!$E$7,Индексы!C26&lt;=Породы!$F$7,Индексы!D26&gt;=Породы!$G$7,Индексы!D26&lt;=Породы!$H$7),IF(Индексы!B26&gt;0,Породы!$B$7," ")," ")</f>
        <v xml:space="preserve"> </v>
      </c>
      <c r="F27" s="78" t="str">
        <f>IF(A27&gt;0,Индексы!B26,"")</f>
        <v/>
      </c>
      <c r="G27" s="48"/>
      <c r="H27" s="47"/>
      <c r="I27" s="47"/>
      <c r="J27" s="47"/>
      <c r="K27" s="30"/>
    </row>
    <row r="28" spans="1:11" x14ac:dyDescent="0.25">
      <c r="A28" s="33">
        <f>Индексы!A27</f>
        <v>0</v>
      </c>
      <c r="B28" s="31" t="str">
        <f>IF(AND(Индексы!B27&gt;=Породы!$C$4,Индексы!B27&lt;=Породы!$D$4,Индексы!C27&gt;=Породы!$E$4,Индексы!C27&lt;=Породы!$F$4,Индексы!D27&gt;=Породы!$G$4,Индексы!D27&lt;=Породы!$H$4),IF(Индексы!B27&gt;0,Породы!$B$4," ")," ")</f>
        <v xml:space="preserve"> </v>
      </c>
      <c r="C28" s="31" t="str">
        <f>IF(AND(Индексы!B27&gt;=Породы!$C$5,Индексы!B27&lt;=Породы!$D$5,Индексы!C27&gt;=Породы!$E$5,Индексы!C27&lt;=Породы!$F$5,Индексы!D27&gt;=Породы!$G$5,Индексы!D27&lt;=Породы!$H$5),IF(Индексы!B27&gt;0,Породы!$B$5," ")," ")</f>
        <v xml:space="preserve"> </v>
      </c>
      <c r="D28" s="31" t="str">
        <f>IF(AND(Индексы!B27&gt;=Породы!$C$6,Индексы!B27&lt;=Породы!$D$6,Индексы!C27&gt;=Породы!$E$6,Индексы!C27&lt;=Породы!$F$6,Индексы!D27&gt;=Породы!$G$6,Индексы!D27&lt;=Породы!$H$6),IF(Индексы!B27&gt;0,Породы!$B$6," ")," ")</f>
        <v xml:space="preserve"> </v>
      </c>
      <c r="E28" s="31" t="str">
        <f>IF(AND(Индексы!B27&gt;=Породы!$C$7,Индексы!B27&lt;=Породы!$D$7,Индексы!C27&gt;=Породы!$E$7,Индексы!C27&lt;=Породы!$F$7,Индексы!D27&gt;=Породы!$G$7,Индексы!D27&lt;=Породы!$H$7),IF(Индексы!B27&gt;0,Породы!$B$7," ")," ")</f>
        <v xml:space="preserve"> </v>
      </c>
      <c r="F28" s="78" t="str">
        <f>IF(A28&gt;0,Индексы!B27,"")</f>
        <v/>
      </c>
      <c r="G28" s="30"/>
      <c r="H28" s="219" t="str">
        <f ca="1">"Исследуемая семья максимально пригодна: "&amp;IF(Анализ!C26="пригодна",Анализ!B26,IF(Анализ!C27="пригодна",Анализ!B27,IF(Анализ!C28="пригодна",Анализ!B28,IF(Анализ!C29="пригодна",Анализ!B29,"не пригодна"))))</f>
        <v>Исследуемая семья максимально пригодна:  - в качестве родоначальницы линии**</v>
      </c>
      <c r="I28" s="220"/>
      <c r="J28" s="220"/>
      <c r="K28" s="221"/>
    </row>
    <row r="29" spans="1:11" ht="13.8" thickBot="1" x14ac:dyDescent="0.3">
      <c r="A29" s="33">
        <f>Индексы!A28</f>
        <v>0</v>
      </c>
      <c r="B29" s="31" t="str">
        <f>IF(AND(Индексы!B28&gt;=Породы!$C$4,Индексы!B28&lt;=Породы!$D$4,Индексы!C28&gt;=Породы!$E$4,Индексы!C28&lt;=Породы!$F$4,Индексы!D28&gt;=Породы!$G$4,Индексы!D28&lt;=Породы!$H$4),IF(Индексы!B28&gt;0,Породы!$B$4," ")," ")</f>
        <v xml:space="preserve"> </v>
      </c>
      <c r="C29" s="31" t="str">
        <f>IF(AND(Индексы!B28&gt;=Породы!$C$5,Индексы!B28&lt;=Породы!$D$5,Индексы!C28&gt;=Породы!$E$5,Индексы!C28&lt;=Породы!$F$5,Индексы!D28&gt;=Породы!$G$5,Индексы!D28&lt;=Породы!$H$5),IF(Индексы!B28&gt;0,Породы!$B$5," ")," ")</f>
        <v xml:space="preserve"> </v>
      </c>
      <c r="D29" s="31" t="str">
        <f>IF(AND(Индексы!B28&gt;=Породы!$C$6,Индексы!B28&lt;=Породы!$D$6,Индексы!C28&gt;=Породы!$E$6,Индексы!C28&lt;=Породы!$F$6,Индексы!D28&gt;=Породы!$G$6,Индексы!D28&lt;=Породы!$H$6),IF(Индексы!B28&gt;0,Породы!$B$6," ")," ")</f>
        <v xml:space="preserve"> </v>
      </c>
      <c r="E29" s="31" t="str">
        <f>IF(AND(Индексы!B28&gt;=Породы!$C$7,Индексы!B28&lt;=Породы!$D$7,Индексы!C28&gt;=Породы!$E$7,Индексы!C28&lt;=Породы!$F$7,Индексы!D28&gt;=Породы!$G$7,Индексы!D28&lt;=Породы!$H$7),IF(Индексы!B28&gt;0,Породы!$B$7," ")," ")</f>
        <v xml:space="preserve"> </v>
      </c>
      <c r="F29" s="78" t="str">
        <f>IF(A29&gt;0,Индексы!B28,"")</f>
        <v/>
      </c>
      <c r="H29" s="222"/>
      <c r="I29" s="223"/>
      <c r="J29" s="223"/>
      <c r="K29" s="224"/>
    </row>
    <row r="30" spans="1:11" x14ac:dyDescent="0.25">
      <c r="A30" s="33">
        <f>Индексы!A29</f>
        <v>0</v>
      </c>
      <c r="B30" s="31" t="str">
        <f>IF(AND(Индексы!B29&gt;=Породы!$C$4,Индексы!B29&lt;=Породы!$D$4,Индексы!C29&gt;=Породы!$E$4,Индексы!C29&lt;=Породы!$F$4,Индексы!D29&gt;=Породы!$G$4,Индексы!D29&lt;=Породы!$H$4),IF(Индексы!B29&gt;0,Породы!$B$4," ")," ")</f>
        <v xml:space="preserve"> </v>
      </c>
      <c r="C30" s="31" t="str">
        <f>IF(AND(Индексы!B29&gt;=Породы!$C$5,Индексы!B29&lt;=Породы!$D$5,Индексы!C29&gt;=Породы!$E$5,Индексы!C29&lt;=Породы!$F$5,Индексы!D29&gt;=Породы!$G$5,Индексы!D29&lt;=Породы!$H$5),IF(Индексы!B29&gt;0,Породы!$B$5," ")," ")</f>
        <v xml:space="preserve"> </v>
      </c>
      <c r="D30" s="31" t="str">
        <f>IF(AND(Индексы!B29&gt;=Породы!$C$6,Индексы!B29&lt;=Породы!$D$6,Индексы!C29&gt;=Породы!$E$6,Индексы!C29&lt;=Породы!$F$6,Индексы!D29&gt;=Породы!$G$6,Индексы!D29&lt;=Породы!$H$6),IF(Индексы!B29&gt;0,Породы!$B$6," ")," ")</f>
        <v xml:space="preserve"> </v>
      </c>
      <c r="E30" s="31" t="str">
        <f>IF(AND(Индексы!B29&gt;=Породы!$C$7,Индексы!B29&lt;=Породы!$D$7,Индексы!C29&gt;=Породы!$E$7,Индексы!C29&lt;=Породы!$F$7,Индексы!D29&gt;=Породы!$G$7,Индексы!D29&lt;=Породы!$H$7),IF(Индексы!B29&gt;0,Породы!$B$7," ")," ")</f>
        <v xml:space="preserve"> </v>
      </c>
      <c r="F30" s="78" t="str">
        <f>IF(A30&gt;0,Индексы!B29,"")</f>
        <v/>
      </c>
    </row>
    <row r="31" spans="1:11" x14ac:dyDescent="0.25">
      <c r="A31" s="33">
        <f>Индексы!A30</f>
        <v>0</v>
      </c>
      <c r="B31" s="31" t="str">
        <f>IF(AND(Индексы!B30&gt;=Породы!$C$4,Индексы!B30&lt;=Породы!$D$4,Индексы!C30&gt;=Породы!$E$4,Индексы!C30&lt;=Породы!$F$4,Индексы!D30&gt;=Породы!$G$4,Индексы!D30&lt;=Породы!$H$4),IF(Индексы!B30&gt;0,Породы!$B$4," ")," ")</f>
        <v xml:space="preserve"> </v>
      </c>
      <c r="C31" s="31" t="str">
        <f>IF(AND(Индексы!B30&gt;=Породы!$C$5,Индексы!B30&lt;=Породы!$D$5,Индексы!C30&gt;=Породы!$E$5,Индексы!C30&lt;=Породы!$F$5,Индексы!D30&gt;=Породы!$G$5,Индексы!D30&lt;=Породы!$H$5),IF(Индексы!B30&gt;0,Породы!$B$5," ")," ")</f>
        <v xml:space="preserve"> </v>
      </c>
      <c r="D31" s="31" t="str">
        <f>IF(AND(Индексы!B30&gt;=Породы!$C$6,Индексы!B30&lt;=Породы!$D$6,Индексы!C30&gt;=Породы!$E$6,Индексы!C30&lt;=Породы!$F$6,Индексы!D30&gt;=Породы!$G$6,Индексы!D30&lt;=Породы!$H$6),IF(Индексы!B30&gt;0,Породы!$B$6," ")," ")</f>
        <v xml:space="preserve"> </v>
      </c>
      <c r="E31" s="31" t="str">
        <f>IF(AND(Индексы!B30&gt;=Породы!$C$7,Индексы!B30&lt;=Породы!$D$7,Индексы!C30&gt;=Породы!$E$7,Индексы!C30&lt;=Породы!$F$7,Индексы!D30&gt;=Породы!$G$7,Индексы!D30&lt;=Породы!$H$7),IF(Индексы!B30&gt;0,Породы!$B$7," ")," ")</f>
        <v xml:space="preserve"> </v>
      </c>
      <c r="F31" s="78" t="str">
        <f>IF(A31&gt;0,Индексы!B30,"")</f>
        <v/>
      </c>
    </row>
    <row r="32" spans="1:11" x14ac:dyDescent="0.25">
      <c r="A32" s="33">
        <f>Индексы!A31</f>
        <v>0</v>
      </c>
      <c r="B32" s="31" t="str">
        <f>IF(AND(Индексы!B31&gt;=Породы!$C$4,Индексы!B31&lt;=Породы!$D$4,Индексы!C31&gt;=Породы!$E$4,Индексы!C31&lt;=Породы!$F$4,Индексы!D31&gt;=Породы!$G$4,Индексы!D31&lt;=Породы!$H$4),IF(Индексы!B31&gt;0,Породы!$B$4," ")," ")</f>
        <v xml:space="preserve"> </v>
      </c>
      <c r="C32" s="31" t="str">
        <f>IF(AND(Индексы!B31&gt;=Породы!$C$5,Индексы!B31&lt;=Породы!$D$5,Индексы!C31&gt;=Породы!$E$5,Индексы!C31&lt;=Породы!$F$5,Индексы!D31&gt;=Породы!$G$5,Индексы!D31&lt;=Породы!$H$5),IF(Индексы!B31&gt;0,Породы!$B$5," ")," ")</f>
        <v xml:space="preserve"> </v>
      </c>
      <c r="D32" s="31" t="str">
        <f>IF(AND(Индексы!B31&gt;=Породы!$C$6,Индексы!B31&lt;=Породы!$D$6,Индексы!C31&gt;=Породы!$E$6,Индексы!C31&lt;=Породы!$F$6,Индексы!D31&gt;=Породы!$G$6,Индексы!D31&lt;=Породы!$H$6),IF(Индексы!B31&gt;0,Породы!$B$6," ")," ")</f>
        <v xml:space="preserve"> </v>
      </c>
      <c r="E32" s="31" t="str">
        <f>IF(AND(Индексы!B31&gt;=Породы!$C$7,Индексы!B31&lt;=Породы!$D$7,Индексы!C31&gt;=Породы!$E$7,Индексы!C31&lt;=Породы!$F$7,Индексы!D31&gt;=Породы!$G$7,Индексы!D31&lt;=Породы!$H$7),IF(Индексы!B31&gt;0,Породы!$B$7," ")," ")</f>
        <v xml:space="preserve"> </v>
      </c>
      <c r="F32" s="78" t="str">
        <f>IF(A32&gt;0,Индексы!B31,"")</f>
        <v/>
      </c>
    </row>
    <row r="33" spans="1:6" x14ac:dyDescent="0.25">
      <c r="A33" s="33">
        <f>Индексы!A32</f>
        <v>0</v>
      </c>
      <c r="B33" s="31" t="str">
        <f>IF(AND(Индексы!B32&gt;=Породы!$C$4,Индексы!B32&lt;=Породы!$D$4,Индексы!C32&gt;=Породы!$E$4,Индексы!C32&lt;=Породы!$F$4,Индексы!D32&gt;=Породы!$G$4,Индексы!D32&lt;=Породы!$H$4),IF(Индексы!B32&gt;0,Породы!$B$4," ")," ")</f>
        <v xml:space="preserve"> </v>
      </c>
      <c r="C33" s="31" t="str">
        <f>IF(AND(Индексы!B32&gt;=Породы!$C$5,Индексы!B32&lt;=Породы!$D$5,Индексы!C32&gt;=Породы!$E$5,Индексы!C32&lt;=Породы!$F$5,Индексы!D32&gt;=Породы!$G$5,Индексы!D32&lt;=Породы!$H$5),IF(Индексы!B32&gt;0,Породы!$B$5," ")," ")</f>
        <v xml:space="preserve"> </v>
      </c>
      <c r="D33" s="31" t="str">
        <f>IF(AND(Индексы!B32&gt;=Породы!$C$6,Индексы!B32&lt;=Породы!$D$6,Индексы!C32&gt;=Породы!$E$6,Индексы!C32&lt;=Породы!$F$6,Индексы!D32&gt;=Породы!$G$6,Индексы!D32&lt;=Породы!$H$6),IF(Индексы!B32&gt;0,Породы!$B$6," ")," ")</f>
        <v xml:space="preserve"> </v>
      </c>
      <c r="E33" s="31" t="str">
        <f>IF(AND(Индексы!B32&gt;=Породы!$C$7,Индексы!B32&lt;=Породы!$D$7,Индексы!C32&gt;=Породы!$E$7,Индексы!C32&lt;=Породы!$F$7,Индексы!D32&gt;=Породы!$G$7,Индексы!D32&lt;=Породы!$H$7),IF(Индексы!B32&gt;0,Породы!$B$7," ")," ")</f>
        <v xml:space="preserve"> </v>
      </c>
      <c r="F33" s="78" t="str">
        <f>IF(A33&gt;0,Индексы!B32,"")</f>
        <v/>
      </c>
    </row>
    <row r="34" spans="1:6" x14ac:dyDescent="0.25">
      <c r="A34" s="33">
        <f>Индексы!A33</f>
        <v>0</v>
      </c>
      <c r="B34" s="31" t="str">
        <f>IF(AND(Индексы!B33&gt;=Породы!$C$4,Индексы!B33&lt;=Породы!$D$4,Индексы!C33&gt;=Породы!$E$4,Индексы!C33&lt;=Породы!$F$4,Индексы!D33&gt;=Породы!$G$4,Индексы!D33&lt;=Породы!$H$4),IF(Индексы!B33&gt;0,Породы!$B$4," ")," ")</f>
        <v xml:space="preserve"> </v>
      </c>
      <c r="C34" s="31" t="str">
        <f>IF(AND(Индексы!B33&gt;=Породы!$C$5,Индексы!B33&lt;=Породы!$D$5,Индексы!C33&gt;=Породы!$E$5,Индексы!C33&lt;=Породы!$F$5,Индексы!D33&gt;=Породы!$G$5,Индексы!D33&lt;=Породы!$H$5),IF(Индексы!B33&gt;0,Породы!$B$5," ")," ")</f>
        <v xml:space="preserve"> </v>
      </c>
      <c r="D34" s="31" t="str">
        <f>IF(AND(Индексы!B33&gt;=Породы!$C$6,Индексы!B33&lt;=Породы!$D$6,Индексы!C33&gt;=Породы!$E$6,Индексы!C33&lt;=Породы!$F$6,Индексы!D33&gt;=Породы!$G$6,Индексы!D33&lt;=Породы!$H$6),IF(Индексы!B33&gt;0,Породы!$B$6," ")," ")</f>
        <v xml:space="preserve"> </v>
      </c>
      <c r="E34" s="31" t="str">
        <f>IF(AND(Индексы!B33&gt;=Породы!$C$7,Индексы!B33&lt;=Породы!$D$7,Индексы!C33&gt;=Породы!$E$7,Индексы!C33&lt;=Породы!$F$7,Индексы!D33&gt;=Породы!$G$7,Индексы!D33&lt;=Породы!$H$7),IF(Индексы!B33&gt;0,Породы!$B$7," ")," ")</f>
        <v xml:space="preserve"> </v>
      </c>
      <c r="F34" s="78" t="str">
        <f>IF(A34&gt;0,Индексы!B33,"")</f>
        <v/>
      </c>
    </row>
    <row r="35" spans="1:6" x14ac:dyDescent="0.25">
      <c r="A35" s="33">
        <f>Индексы!A34</f>
        <v>0</v>
      </c>
      <c r="B35" s="31" t="str">
        <f>IF(AND(Индексы!B34&gt;=Породы!$C$4,Индексы!B34&lt;=Породы!$D$4,Индексы!C34&gt;=Породы!$E$4,Индексы!C34&lt;=Породы!$F$4,Индексы!D34&gt;=Породы!$G$4,Индексы!D34&lt;=Породы!$H$4),IF(Индексы!B34&gt;0,Породы!$B$4," ")," ")</f>
        <v xml:space="preserve"> </v>
      </c>
      <c r="C35" s="31" t="str">
        <f>IF(AND(Индексы!B34&gt;=Породы!$C$5,Индексы!B34&lt;=Породы!$D$5,Индексы!C34&gt;=Породы!$E$5,Индексы!C34&lt;=Породы!$F$5,Индексы!D34&gt;=Породы!$G$5,Индексы!D34&lt;=Породы!$H$5),IF(Индексы!B34&gt;0,Породы!$B$5," ")," ")</f>
        <v xml:space="preserve"> </v>
      </c>
      <c r="D35" s="31" t="str">
        <f>IF(AND(Индексы!B34&gt;=Породы!$C$6,Индексы!B34&lt;=Породы!$D$6,Индексы!C34&gt;=Породы!$E$6,Индексы!C34&lt;=Породы!$F$6,Индексы!D34&gt;=Породы!$G$6,Индексы!D34&lt;=Породы!$H$6),IF(Индексы!B34&gt;0,Породы!$B$6," ")," ")</f>
        <v xml:space="preserve"> </v>
      </c>
      <c r="E35" s="31" t="str">
        <f>IF(AND(Индексы!B34&gt;=Породы!$C$7,Индексы!B34&lt;=Породы!$D$7,Индексы!C34&gt;=Породы!$E$7,Индексы!C34&lt;=Породы!$F$7,Индексы!D34&gt;=Породы!$G$7,Индексы!D34&lt;=Породы!$H$7),IF(Индексы!B34&gt;0,Породы!$B$7," ")," ")</f>
        <v xml:space="preserve"> </v>
      </c>
      <c r="F35" s="78" t="str">
        <f>IF(A35&gt;0,Индексы!B34,"")</f>
        <v/>
      </c>
    </row>
    <row r="36" spans="1:6" x14ac:dyDescent="0.25">
      <c r="A36" s="33">
        <f>Индексы!A35</f>
        <v>0</v>
      </c>
      <c r="B36" s="31" t="str">
        <f>IF(AND(Индексы!B35&gt;=Породы!$C$4,Индексы!B35&lt;=Породы!$D$4,Индексы!C35&gt;=Породы!$E$4,Индексы!C35&lt;=Породы!$F$4,Индексы!D35&gt;=Породы!$G$4,Индексы!D35&lt;=Породы!$H$4),IF(Индексы!B35&gt;0,Породы!$B$4," ")," ")</f>
        <v xml:space="preserve"> </v>
      </c>
      <c r="C36" s="31" t="str">
        <f>IF(AND(Индексы!B35&gt;=Породы!$C$5,Индексы!B35&lt;=Породы!$D$5,Индексы!C35&gt;=Породы!$E$5,Индексы!C35&lt;=Породы!$F$5,Индексы!D35&gt;=Породы!$G$5,Индексы!D35&lt;=Породы!$H$5),IF(Индексы!B35&gt;0,Породы!$B$5," ")," ")</f>
        <v xml:space="preserve"> </v>
      </c>
      <c r="D36" s="31" t="str">
        <f>IF(AND(Индексы!B35&gt;=Породы!$C$6,Индексы!B35&lt;=Породы!$D$6,Индексы!C35&gt;=Породы!$E$6,Индексы!C35&lt;=Породы!$F$6,Индексы!D35&gt;=Породы!$G$6,Индексы!D35&lt;=Породы!$H$6),IF(Индексы!B35&gt;0,Породы!$B$6," ")," ")</f>
        <v xml:space="preserve"> </v>
      </c>
      <c r="E36" s="31" t="str">
        <f>IF(AND(Индексы!B35&gt;=Породы!$C$7,Индексы!B35&lt;=Породы!$D$7,Индексы!C35&gt;=Породы!$E$7,Индексы!C35&lt;=Породы!$F$7,Индексы!D35&gt;=Породы!$G$7,Индексы!D35&lt;=Породы!$H$7),IF(Индексы!B35&gt;0,Породы!$B$7," ")," ")</f>
        <v xml:space="preserve"> </v>
      </c>
      <c r="F36" s="78" t="str">
        <f>IF(A36&gt;0,Индексы!B35,"")</f>
        <v/>
      </c>
    </row>
    <row r="37" spans="1:6" x14ac:dyDescent="0.25">
      <c r="A37" s="33">
        <f>Индексы!A36</f>
        <v>0</v>
      </c>
      <c r="B37" s="31" t="str">
        <f>IF(AND(Индексы!B36&gt;=Породы!$C$4,Индексы!B36&lt;=Породы!$D$4,Индексы!C36&gt;=Породы!$E$4,Индексы!C36&lt;=Породы!$F$4,Индексы!D36&gt;=Породы!$G$4,Индексы!D36&lt;=Породы!$H$4),IF(Индексы!B36&gt;0,Породы!$B$4," ")," ")</f>
        <v xml:space="preserve"> </v>
      </c>
      <c r="C37" s="31" t="str">
        <f>IF(AND(Индексы!B36&gt;=Породы!$C$5,Индексы!B36&lt;=Породы!$D$5,Индексы!C36&gt;=Породы!$E$5,Индексы!C36&lt;=Породы!$F$5,Индексы!D36&gt;=Породы!$G$5,Индексы!D36&lt;=Породы!$H$5),IF(Индексы!B36&gt;0,Породы!$B$5," ")," ")</f>
        <v xml:space="preserve"> </v>
      </c>
      <c r="D37" s="31" t="str">
        <f>IF(AND(Индексы!B36&gt;=Породы!$C$6,Индексы!B36&lt;=Породы!$D$6,Индексы!C36&gt;=Породы!$E$6,Индексы!C36&lt;=Породы!$F$6,Индексы!D36&gt;=Породы!$G$6,Индексы!D36&lt;=Породы!$H$6),IF(Индексы!B36&gt;0,Породы!$B$6," ")," ")</f>
        <v xml:space="preserve"> </v>
      </c>
      <c r="E37" s="31" t="str">
        <f>IF(AND(Индексы!B36&gt;=Породы!$C$7,Индексы!B36&lt;=Породы!$D$7,Индексы!C36&gt;=Породы!$E$7,Индексы!C36&lt;=Породы!$F$7,Индексы!D36&gt;=Породы!$G$7,Индексы!D36&lt;=Породы!$H$7),IF(Индексы!B36&gt;0,Породы!$B$7," ")," ")</f>
        <v xml:space="preserve"> </v>
      </c>
      <c r="F37" s="78" t="str">
        <f>IF(A37&gt;0,Индексы!B36,"")</f>
        <v/>
      </c>
    </row>
    <row r="38" spans="1:6" x14ac:dyDescent="0.25">
      <c r="A38" s="33">
        <f>Индексы!A37</f>
        <v>0</v>
      </c>
      <c r="B38" s="31" t="str">
        <f>IF(AND(Индексы!B37&gt;=Породы!$C$4,Индексы!B37&lt;=Породы!$D$4,Индексы!C37&gt;=Породы!$E$4,Индексы!C37&lt;=Породы!$F$4,Индексы!D37&gt;=Породы!$G$4,Индексы!D37&lt;=Породы!$H$4),IF(Индексы!B37&gt;0,Породы!$B$4," ")," ")</f>
        <v xml:space="preserve"> </v>
      </c>
      <c r="C38" s="31" t="str">
        <f>IF(AND(Индексы!B37&gt;=Породы!$C$5,Индексы!B37&lt;=Породы!$D$5,Индексы!C37&gt;=Породы!$E$5,Индексы!C37&lt;=Породы!$F$5,Индексы!D37&gt;=Породы!$G$5,Индексы!D37&lt;=Породы!$H$5),IF(Индексы!B37&gt;0,Породы!$B$5," ")," ")</f>
        <v xml:space="preserve"> </v>
      </c>
      <c r="D38" s="31" t="str">
        <f>IF(AND(Индексы!B37&gt;=Породы!$C$6,Индексы!B37&lt;=Породы!$D$6,Индексы!C37&gt;=Породы!$E$6,Индексы!C37&lt;=Породы!$F$6,Индексы!D37&gt;=Породы!$G$6,Индексы!D37&lt;=Породы!$H$6),IF(Индексы!B37&gt;0,Породы!$B$6," ")," ")</f>
        <v xml:space="preserve"> </v>
      </c>
      <c r="E38" s="31" t="str">
        <f>IF(AND(Индексы!B37&gt;=Породы!$C$7,Индексы!B37&lt;=Породы!$D$7,Индексы!C37&gt;=Породы!$E$7,Индексы!C37&lt;=Породы!$F$7,Индексы!D37&gt;=Породы!$G$7,Индексы!D37&lt;=Породы!$H$7),IF(Индексы!B37&gt;0,Породы!$B$7," ")," ")</f>
        <v xml:space="preserve"> </v>
      </c>
      <c r="F38" s="78" t="str">
        <f>IF(A38&gt;0,Индексы!B37,"")</f>
        <v/>
      </c>
    </row>
    <row r="39" spans="1:6" x14ac:dyDescent="0.25">
      <c r="A39" s="33">
        <f>Индексы!A38</f>
        <v>0</v>
      </c>
      <c r="B39" s="31" t="str">
        <f>IF(AND(Индексы!B38&gt;=Породы!$C$4,Индексы!B38&lt;=Породы!$D$4,Индексы!C38&gt;=Породы!$E$4,Индексы!C38&lt;=Породы!$F$4,Индексы!D38&gt;=Породы!$G$4,Индексы!D38&lt;=Породы!$H$4),IF(Индексы!B38&gt;0,Породы!$B$4," ")," ")</f>
        <v xml:space="preserve"> </v>
      </c>
      <c r="C39" s="31" t="str">
        <f>IF(AND(Индексы!B38&gt;=Породы!$C$5,Индексы!B38&lt;=Породы!$D$5,Индексы!C38&gt;=Породы!$E$5,Индексы!C38&lt;=Породы!$F$5,Индексы!D38&gt;=Породы!$G$5,Индексы!D38&lt;=Породы!$H$5),IF(Индексы!B38&gt;0,Породы!$B$5," ")," ")</f>
        <v xml:space="preserve"> </v>
      </c>
      <c r="D39" s="31" t="str">
        <f>IF(AND(Индексы!B38&gt;=Породы!$C$6,Индексы!B38&lt;=Породы!$D$6,Индексы!C38&gt;=Породы!$E$6,Индексы!C38&lt;=Породы!$F$6,Индексы!D38&gt;=Породы!$G$6,Индексы!D38&lt;=Породы!$H$6),IF(Индексы!B38&gt;0,Породы!$B$6," ")," ")</f>
        <v xml:space="preserve"> </v>
      </c>
      <c r="E39" s="31" t="str">
        <f>IF(AND(Индексы!B38&gt;=Породы!$C$7,Индексы!B38&lt;=Породы!$D$7,Индексы!C38&gt;=Породы!$E$7,Индексы!C38&lt;=Породы!$F$7,Индексы!D38&gt;=Породы!$G$7,Индексы!D38&lt;=Породы!$H$7),IF(Индексы!B38&gt;0,Породы!$B$7," ")," ")</f>
        <v xml:space="preserve"> </v>
      </c>
      <c r="F39" s="78" t="str">
        <f>IF(A39&gt;0,Индексы!B38,"")</f>
        <v/>
      </c>
    </row>
    <row r="40" spans="1:6" x14ac:dyDescent="0.25">
      <c r="A40" s="33">
        <f>Индексы!A39</f>
        <v>0</v>
      </c>
      <c r="B40" s="31" t="str">
        <f>IF(AND(Индексы!B39&gt;=Породы!$C$4,Индексы!B39&lt;=Породы!$D$4,Индексы!C39&gt;=Породы!$E$4,Индексы!C39&lt;=Породы!$F$4,Индексы!D39&gt;=Породы!$G$4,Индексы!D39&lt;=Породы!$H$4),IF(Индексы!B39&gt;0,Породы!$B$4," ")," ")</f>
        <v xml:space="preserve"> </v>
      </c>
      <c r="C40" s="31" t="str">
        <f>IF(AND(Индексы!B39&gt;=Породы!$C$5,Индексы!B39&lt;=Породы!$D$5,Индексы!C39&gt;=Породы!$E$5,Индексы!C39&lt;=Породы!$F$5,Индексы!D39&gt;=Породы!$G$5,Индексы!D39&lt;=Породы!$H$5),IF(Индексы!B39&gt;0,Породы!$B$5," ")," ")</f>
        <v xml:space="preserve"> </v>
      </c>
      <c r="D40" s="31" t="str">
        <f>IF(AND(Индексы!B39&gt;=Породы!$C$6,Индексы!B39&lt;=Породы!$D$6,Индексы!C39&gt;=Породы!$E$6,Индексы!C39&lt;=Породы!$F$6,Индексы!D39&gt;=Породы!$G$6,Индексы!D39&lt;=Породы!$H$6),IF(Индексы!B39&gt;0,Породы!$B$6," ")," ")</f>
        <v xml:space="preserve"> </v>
      </c>
      <c r="E40" s="31" t="str">
        <f>IF(AND(Индексы!B39&gt;=Породы!$C$7,Индексы!B39&lt;=Породы!$D$7,Индексы!C39&gt;=Породы!$E$7,Индексы!C39&lt;=Породы!$F$7,Индексы!D39&gt;=Породы!$G$7,Индексы!D39&lt;=Породы!$H$7),IF(Индексы!B39&gt;0,Породы!$B$7," ")," ")</f>
        <v xml:space="preserve"> </v>
      </c>
      <c r="F40" s="78" t="str">
        <f>IF(A40&gt;0,Индексы!B39,"")</f>
        <v/>
      </c>
    </row>
    <row r="41" spans="1:6" x14ac:dyDescent="0.25">
      <c r="A41" s="33">
        <f>Индексы!A40</f>
        <v>0</v>
      </c>
      <c r="B41" s="31" t="str">
        <f>IF(AND(Индексы!B40&gt;=Породы!$C$4,Индексы!B40&lt;=Породы!$D$4,Индексы!C40&gt;=Породы!$E$4,Индексы!C40&lt;=Породы!$F$4,Индексы!D40&gt;=Породы!$G$4,Индексы!D40&lt;=Породы!$H$4),IF(Индексы!B40&gt;0,Породы!$B$4," ")," ")</f>
        <v xml:space="preserve"> </v>
      </c>
      <c r="C41" s="31" t="str">
        <f>IF(AND(Индексы!B40&gt;=Породы!$C$5,Индексы!B40&lt;=Породы!$D$5,Индексы!C40&gt;=Породы!$E$5,Индексы!C40&lt;=Породы!$F$5,Индексы!D40&gt;=Породы!$G$5,Индексы!D40&lt;=Породы!$H$5),IF(Индексы!B40&gt;0,Породы!$B$5," ")," ")</f>
        <v xml:space="preserve"> </v>
      </c>
      <c r="D41" s="31" t="str">
        <f>IF(AND(Индексы!B40&gt;=Породы!$C$6,Индексы!B40&lt;=Породы!$D$6,Индексы!C40&gt;=Породы!$E$6,Индексы!C40&lt;=Породы!$F$6,Индексы!D40&gt;=Породы!$G$6,Индексы!D40&lt;=Породы!$H$6),IF(Индексы!B40&gt;0,Породы!$B$6," ")," ")</f>
        <v xml:space="preserve"> </v>
      </c>
      <c r="E41" s="31" t="str">
        <f>IF(AND(Индексы!B40&gt;=Породы!$C$7,Индексы!B40&lt;=Породы!$D$7,Индексы!C40&gt;=Породы!$E$7,Индексы!C40&lt;=Породы!$F$7,Индексы!D40&gt;=Породы!$G$7,Индексы!D40&lt;=Породы!$H$7),IF(Индексы!B40&gt;0,Породы!$B$7," ")," ")</f>
        <v xml:space="preserve"> </v>
      </c>
      <c r="F41" s="78" t="str">
        <f>IF(A41&gt;0,Индексы!B40,"")</f>
        <v/>
      </c>
    </row>
    <row r="42" spans="1:6" x14ac:dyDescent="0.25">
      <c r="A42" s="33">
        <f>Индексы!A41</f>
        <v>0</v>
      </c>
      <c r="B42" s="31" t="str">
        <f>IF(AND(Индексы!B41&gt;=Породы!$C$4,Индексы!B41&lt;=Породы!$D$4,Индексы!C41&gt;=Породы!$E$4,Индексы!C41&lt;=Породы!$F$4,Индексы!D41&gt;=Породы!$G$4,Индексы!D41&lt;=Породы!$H$4),IF(Индексы!B41&gt;0,Породы!$B$4," ")," ")</f>
        <v xml:space="preserve"> </v>
      </c>
      <c r="C42" s="31" t="str">
        <f>IF(AND(Индексы!B41&gt;=Породы!$C$5,Индексы!B41&lt;=Породы!$D$5,Индексы!C41&gt;=Породы!$E$5,Индексы!C41&lt;=Породы!$F$5,Индексы!D41&gt;=Породы!$G$5,Индексы!D41&lt;=Породы!$H$5),IF(Индексы!B41&gt;0,Породы!$B$5," ")," ")</f>
        <v xml:space="preserve"> </v>
      </c>
      <c r="D42" s="31" t="str">
        <f>IF(AND(Индексы!B41&gt;=Породы!$C$6,Индексы!B41&lt;=Породы!$D$6,Индексы!C41&gt;=Породы!$E$6,Индексы!C41&lt;=Породы!$F$6,Индексы!D41&gt;=Породы!$G$6,Индексы!D41&lt;=Породы!$H$6),IF(Индексы!B41&gt;0,Породы!$B$6," ")," ")</f>
        <v xml:space="preserve"> </v>
      </c>
      <c r="E42" s="31" t="str">
        <f>IF(AND(Индексы!B41&gt;=Породы!$C$7,Индексы!B41&lt;=Породы!$D$7,Индексы!C41&gt;=Породы!$E$7,Индексы!C41&lt;=Породы!$F$7,Индексы!D41&gt;=Породы!$G$7,Индексы!D41&lt;=Породы!$H$7),IF(Индексы!B41&gt;0,Породы!$B$7," ")," ")</f>
        <v xml:space="preserve"> </v>
      </c>
      <c r="F42" s="78" t="str">
        <f>IF(A42&gt;0,Индексы!B41,"")</f>
        <v/>
      </c>
    </row>
    <row r="43" spans="1:6" x14ac:dyDescent="0.25">
      <c r="A43" s="33">
        <f>Индексы!A42</f>
        <v>0</v>
      </c>
      <c r="B43" s="31" t="str">
        <f>IF(AND(Индексы!B42&gt;=Породы!$C$4,Индексы!B42&lt;=Породы!$D$4,Индексы!C42&gt;=Породы!$E$4,Индексы!C42&lt;=Породы!$F$4,Индексы!D42&gt;=Породы!$G$4,Индексы!D42&lt;=Породы!$H$4),IF(Индексы!B42&gt;0,Породы!$B$4," ")," ")</f>
        <v xml:space="preserve"> </v>
      </c>
      <c r="C43" s="31" t="str">
        <f>IF(AND(Индексы!B42&gt;=Породы!$C$5,Индексы!B42&lt;=Породы!$D$5,Индексы!C42&gt;=Породы!$E$5,Индексы!C42&lt;=Породы!$F$5,Индексы!D42&gt;=Породы!$G$5,Индексы!D42&lt;=Породы!$H$5),IF(Индексы!B42&gt;0,Породы!$B$5," ")," ")</f>
        <v xml:space="preserve"> </v>
      </c>
      <c r="D43" s="31" t="str">
        <f>IF(AND(Индексы!B42&gt;=Породы!$C$6,Индексы!B42&lt;=Породы!$D$6,Индексы!C42&gt;=Породы!$E$6,Индексы!C42&lt;=Породы!$F$6,Индексы!D42&gt;=Породы!$G$6,Индексы!D42&lt;=Породы!$H$6),IF(Индексы!B42&gt;0,Породы!$B$6," ")," ")</f>
        <v xml:space="preserve"> </v>
      </c>
      <c r="E43" s="31" t="str">
        <f>IF(AND(Индексы!B42&gt;=Породы!$C$7,Индексы!B42&lt;=Породы!$D$7,Индексы!C42&gt;=Породы!$E$7,Индексы!C42&lt;=Породы!$F$7,Индексы!D42&gt;=Породы!$G$7,Индексы!D42&lt;=Породы!$H$7),IF(Индексы!B42&gt;0,Породы!$B$7," ")," ")</f>
        <v xml:space="preserve"> </v>
      </c>
      <c r="F43" s="78" t="str">
        <f>IF(A43&gt;0,Индексы!B42,"")</f>
        <v/>
      </c>
    </row>
    <row r="44" spans="1:6" x14ac:dyDescent="0.25">
      <c r="A44" s="33">
        <f>Индексы!A43</f>
        <v>0</v>
      </c>
      <c r="B44" s="31" t="str">
        <f>IF(AND(Индексы!B43&gt;=Породы!$C$4,Индексы!B43&lt;=Породы!$D$4,Индексы!C43&gt;=Породы!$E$4,Индексы!C43&lt;=Породы!$F$4,Индексы!D43&gt;=Породы!$G$4,Индексы!D43&lt;=Породы!$H$4),IF(Индексы!B43&gt;0,Породы!$B$4," ")," ")</f>
        <v xml:space="preserve"> </v>
      </c>
      <c r="C44" s="31" t="str">
        <f>IF(AND(Индексы!B43&gt;=Породы!$C$5,Индексы!B43&lt;=Породы!$D$5,Индексы!C43&gt;=Породы!$E$5,Индексы!C43&lt;=Породы!$F$5,Индексы!D43&gt;=Породы!$G$5,Индексы!D43&lt;=Породы!$H$5),IF(Индексы!B43&gt;0,Породы!$B$5," ")," ")</f>
        <v xml:space="preserve"> </v>
      </c>
      <c r="D44" s="31" t="str">
        <f>IF(AND(Индексы!B43&gt;=Породы!$C$6,Индексы!B43&lt;=Породы!$D$6,Индексы!C43&gt;=Породы!$E$6,Индексы!C43&lt;=Породы!$F$6,Индексы!D43&gt;=Породы!$G$6,Индексы!D43&lt;=Породы!$H$6),IF(Индексы!B43&gt;0,Породы!$B$6," ")," ")</f>
        <v xml:space="preserve"> </v>
      </c>
      <c r="E44" s="31" t="str">
        <f>IF(AND(Индексы!B43&gt;=Породы!$C$7,Индексы!B43&lt;=Породы!$D$7,Индексы!C43&gt;=Породы!$E$7,Индексы!C43&lt;=Породы!$F$7,Индексы!D43&gt;=Породы!$G$7,Индексы!D43&lt;=Породы!$H$7),IF(Индексы!B43&gt;0,Породы!$B$7," ")," ")</f>
        <v xml:space="preserve"> </v>
      </c>
      <c r="F44" s="78" t="str">
        <f>IF(A44&gt;0,Индексы!B43,"")</f>
        <v/>
      </c>
    </row>
    <row r="45" spans="1:6" x14ac:dyDescent="0.25">
      <c r="A45" s="33">
        <f>Индексы!A44</f>
        <v>0</v>
      </c>
      <c r="B45" s="31" t="str">
        <f>IF(AND(Индексы!B44&gt;=Породы!$C$4,Индексы!B44&lt;=Породы!$D$4,Индексы!C44&gt;=Породы!$E$4,Индексы!C44&lt;=Породы!$F$4,Индексы!D44&gt;=Породы!$G$4,Индексы!D44&lt;=Породы!$H$4),IF(Индексы!B44&gt;0,Породы!$B$4," ")," ")</f>
        <v xml:space="preserve"> </v>
      </c>
      <c r="C45" s="31" t="str">
        <f>IF(AND(Индексы!B44&gt;=Породы!$C$5,Индексы!B44&lt;=Породы!$D$5,Индексы!C44&gt;=Породы!$E$5,Индексы!C44&lt;=Породы!$F$5,Индексы!D44&gt;=Породы!$G$5,Индексы!D44&lt;=Породы!$H$5),IF(Индексы!B44&gt;0,Породы!$B$5," ")," ")</f>
        <v xml:space="preserve"> </v>
      </c>
      <c r="D45" s="31" t="str">
        <f>IF(AND(Индексы!B44&gt;=Породы!$C$6,Индексы!B44&lt;=Породы!$D$6,Индексы!C44&gt;=Породы!$E$6,Индексы!C44&lt;=Породы!$F$6,Индексы!D44&gt;=Породы!$G$6,Индексы!D44&lt;=Породы!$H$6),IF(Индексы!B44&gt;0,Породы!$B$6," ")," ")</f>
        <v xml:space="preserve"> </v>
      </c>
      <c r="E45" s="31" t="str">
        <f>IF(AND(Индексы!B44&gt;=Породы!$C$7,Индексы!B44&lt;=Породы!$D$7,Индексы!C44&gt;=Породы!$E$7,Индексы!C44&lt;=Породы!$F$7,Индексы!D44&gt;=Породы!$G$7,Индексы!D44&lt;=Породы!$H$7),IF(Индексы!B44&gt;0,Породы!$B$7," ")," ")</f>
        <v xml:space="preserve"> </v>
      </c>
      <c r="F45" s="78" t="str">
        <f>IF(A45&gt;0,Индексы!B44,"")</f>
        <v/>
      </c>
    </row>
    <row r="46" spans="1:6" x14ac:dyDescent="0.25">
      <c r="A46" s="33">
        <f>Индексы!A45</f>
        <v>0</v>
      </c>
      <c r="B46" s="31" t="str">
        <f>IF(AND(Индексы!B45&gt;=Породы!$C$4,Индексы!B45&lt;=Породы!$D$4,Индексы!C45&gt;=Породы!$E$4,Индексы!C45&lt;=Породы!$F$4,Индексы!D45&gt;=Породы!$G$4,Индексы!D45&lt;=Породы!$H$4),IF(Индексы!B45&gt;0,Породы!$B$4," ")," ")</f>
        <v xml:space="preserve"> </v>
      </c>
      <c r="C46" s="31" t="str">
        <f>IF(AND(Индексы!B45&gt;=Породы!$C$5,Индексы!B45&lt;=Породы!$D$5,Индексы!C45&gt;=Породы!$E$5,Индексы!C45&lt;=Породы!$F$5,Индексы!D45&gt;=Породы!$G$5,Индексы!D45&lt;=Породы!$H$5),IF(Индексы!B45&gt;0,Породы!$B$5," ")," ")</f>
        <v xml:space="preserve"> </v>
      </c>
      <c r="D46" s="31" t="str">
        <f>IF(AND(Индексы!B45&gt;=Породы!$C$6,Индексы!B45&lt;=Породы!$D$6,Индексы!C45&gt;=Породы!$E$6,Индексы!C45&lt;=Породы!$F$6,Индексы!D45&gt;=Породы!$G$6,Индексы!D45&lt;=Породы!$H$6),IF(Индексы!B45&gt;0,Породы!$B$6," ")," ")</f>
        <v xml:space="preserve"> </v>
      </c>
      <c r="E46" s="31" t="str">
        <f>IF(AND(Индексы!B45&gt;=Породы!$C$7,Индексы!B45&lt;=Породы!$D$7,Индексы!C45&gt;=Породы!$E$7,Индексы!C45&lt;=Породы!$F$7,Индексы!D45&gt;=Породы!$G$7,Индексы!D45&lt;=Породы!$H$7),IF(Индексы!B45&gt;0,Породы!$B$7," ")," ")</f>
        <v xml:space="preserve"> </v>
      </c>
      <c r="F46" s="78" t="str">
        <f>IF(A46&gt;0,Индексы!B45,"")</f>
        <v/>
      </c>
    </row>
    <row r="47" spans="1:6" x14ac:dyDescent="0.25">
      <c r="A47" s="33">
        <f>Индексы!A46</f>
        <v>0</v>
      </c>
      <c r="B47" s="31" t="str">
        <f>IF(AND(Индексы!B46&gt;=Породы!$C$4,Индексы!B46&lt;=Породы!$D$4,Индексы!C46&gt;=Породы!$E$4,Индексы!C46&lt;=Породы!$F$4,Индексы!D46&gt;=Породы!$G$4,Индексы!D46&lt;=Породы!$H$4),IF(Индексы!B46&gt;0,Породы!$B$4," ")," ")</f>
        <v xml:space="preserve"> </v>
      </c>
      <c r="C47" s="31" t="str">
        <f>IF(AND(Индексы!B46&gt;=Породы!$C$5,Индексы!B46&lt;=Породы!$D$5,Индексы!C46&gt;=Породы!$E$5,Индексы!C46&lt;=Породы!$F$5,Индексы!D46&gt;=Породы!$G$5,Индексы!D46&lt;=Породы!$H$5),IF(Индексы!B46&gt;0,Породы!$B$5," ")," ")</f>
        <v xml:space="preserve"> </v>
      </c>
      <c r="D47" s="31" t="str">
        <f>IF(AND(Индексы!B46&gt;=Породы!$C$6,Индексы!B46&lt;=Породы!$D$6,Индексы!C46&gt;=Породы!$E$6,Индексы!C46&lt;=Породы!$F$6,Индексы!D46&gt;=Породы!$G$6,Индексы!D46&lt;=Породы!$H$6),IF(Индексы!B46&gt;0,Породы!$B$6," ")," ")</f>
        <v xml:space="preserve"> </v>
      </c>
      <c r="E47" s="31" t="str">
        <f>IF(AND(Индексы!B46&gt;=Породы!$C$7,Индексы!B46&lt;=Породы!$D$7,Индексы!C46&gt;=Породы!$E$7,Индексы!C46&lt;=Породы!$F$7,Индексы!D46&gt;=Породы!$G$7,Индексы!D46&lt;=Породы!$H$7),IF(Индексы!B46&gt;0,Породы!$B$7," ")," ")</f>
        <v xml:space="preserve"> </v>
      </c>
      <c r="F47" s="78" t="str">
        <f>IF(A47&gt;0,Индексы!B46,"")</f>
        <v/>
      </c>
    </row>
    <row r="48" spans="1:6" x14ac:dyDescent="0.25">
      <c r="A48" s="33">
        <f>Индексы!A47</f>
        <v>0</v>
      </c>
      <c r="B48" s="31" t="str">
        <f>IF(AND(Индексы!B47&gt;=Породы!$C$4,Индексы!B47&lt;=Породы!$D$4,Индексы!C47&gt;=Породы!$E$4,Индексы!C47&lt;=Породы!$F$4,Индексы!D47&gt;=Породы!$G$4,Индексы!D47&lt;=Породы!$H$4),IF(Индексы!B47&gt;0,Породы!$B$4," ")," ")</f>
        <v xml:space="preserve"> </v>
      </c>
      <c r="C48" s="31" t="str">
        <f>IF(AND(Индексы!B47&gt;=Породы!$C$5,Индексы!B47&lt;=Породы!$D$5,Индексы!C47&gt;=Породы!$E$5,Индексы!C47&lt;=Породы!$F$5,Индексы!D47&gt;=Породы!$G$5,Индексы!D47&lt;=Породы!$H$5),IF(Индексы!B47&gt;0,Породы!$B$5," ")," ")</f>
        <v xml:space="preserve"> </v>
      </c>
      <c r="D48" s="31" t="str">
        <f>IF(AND(Индексы!B47&gt;=Породы!$C$6,Индексы!B47&lt;=Породы!$D$6,Индексы!C47&gt;=Породы!$E$6,Индексы!C47&lt;=Породы!$F$6,Индексы!D47&gt;=Породы!$G$6,Индексы!D47&lt;=Породы!$H$6),IF(Индексы!B47&gt;0,Породы!$B$6," ")," ")</f>
        <v xml:space="preserve"> </v>
      </c>
      <c r="E48" s="31" t="str">
        <f>IF(AND(Индексы!B47&gt;=Породы!$C$7,Индексы!B47&lt;=Породы!$D$7,Индексы!C47&gt;=Породы!$E$7,Индексы!C47&lt;=Породы!$F$7,Индексы!D47&gt;=Породы!$G$7,Индексы!D47&lt;=Породы!$H$7),IF(Индексы!B47&gt;0,Породы!$B$7," ")," ")</f>
        <v xml:space="preserve"> </v>
      </c>
      <c r="F48" s="78" t="str">
        <f>IF(A48&gt;0,Индексы!B47,"")</f>
        <v/>
      </c>
    </row>
    <row r="49" spans="1:6" x14ac:dyDescent="0.25">
      <c r="A49" s="33">
        <f>Индексы!A48</f>
        <v>0</v>
      </c>
      <c r="B49" s="31" t="str">
        <f>IF(AND(Индексы!B48&gt;=Породы!$C$4,Индексы!B48&lt;=Породы!$D$4,Индексы!C48&gt;=Породы!$E$4,Индексы!C48&lt;=Породы!$F$4,Индексы!D48&gt;=Породы!$G$4,Индексы!D48&lt;=Породы!$H$4),IF(Индексы!B48&gt;0,Породы!$B$4," ")," ")</f>
        <v xml:space="preserve"> </v>
      </c>
      <c r="C49" s="31" t="str">
        <f>IF(AND(Индексы!B48&gt;=Породы!$C$5,Индексы!B48&lt;=Породы!$D$5,Индексы!C48&gt;=Породы!$E$5,Индексы!C48&lt;=Породы!$F$5,Индексы!D48&gt;=Породы!$G$5,Индексы!D48&lt;=Породы!$H$5),IF(Индексы!B48&gt;0,Породы!$B$5," ")," ")</f>
        <v xml:space="preserve"> </v>
      </c>
      <c r="D49" s="31" t="str">
        <f>IF(AND(Индексы!B48&gt;=Породы!$C$6,Индексы!B48&lt;=Породы!$D$6,Индексы!C48&gt;=Породы!$E$6,Индексы!C48&lt;=Породы!$F$6,Индексы!D48&gt;=Породы!$G$6,Индексы!D48&lt;=Породы!$H$6),IF(Индексы!B48&gt;0,Породы!$B$6," ")," ")</f>
        <v xml:space="preserve"> </v>
      </c>
      <c r="E49" s="31" t="str">
        <f>IF(AND(Индексы!B48&gt;=Породы!$C$7,Индексы!B48&lt;=Породы!$D$7,Индексы!C48&gt;=Породы!$E$7,Индексы!C48&lt;=Породы!$F$7,Индексы!D48&gt;=Породы!$G$7,Индексы!D48&lt;=Породы!$H$7),IF(Индексы!B48&gt;0,Породы!$B$7," ")," ")</f>
        <v xml:space="preserve"> </v>
      </c>
      <c r="F49" s="78" t="str">
        <f>IF(A49&gt;0,Индексы!B48,"")</f>
        <v/>
      </c>
    </row>
    <row r="50" spans="1:6" x14ac:dyDescent="0.25">
      <c r="A50" s="33">
        <f>Индексы!A49</f>
        <v>0</v>
      </c>
      <c r="B50" s="31" t="str">
        <f>IF(AND(Индексы!B49&gt;=Породы!$C$4,Индексы!B49&lt;=Породы!$D$4,Индексы!C49&gt;=Породы!$E$4,Индексы!C49&lt;=Породы!$F$4,Индексы!D49&gt;=Породы!$G$4,Индексы!D49&lt;=Породы!$H$4),IF(Индексы!B49&gt;0,Породы!$B$4," ")," ")</f>
        <v xml:space="preserve"> </v>
      </c>
      <c r="C50" s="31" t="str">
        <f>IF(AND(Индексы!B49&gt;=Породы!$C$5,Индексы!B49&lt;=Породы!$D$5,Индексы!C49&gt;=Породы!$E$5,Индексы!C49&lt;=Породы!$F$5,Индексы!D49&gt;=Породы!$G$5,Индексы!D49&lt;=Породы!$H$5),IF(Индексы!B49&gt;0,Породы!$B$5," ")," ")</f>
        <v xml:space="preserve"> </v>
      </c>
      <c r="D50" s="31" t="str">
        <f>IF(AND(Индексы!B49&gt;=Породы!$C$6,Индексы!B49&lt;=Породы!$D$6,Индексы!C49&gt;=Породы!$E$6,Индексы!C49&lt;=Породы!$F$6,Индексы!D49&gt;=Породы!$G$6,Индексы!D49&lt;=Породы!$H$6),IF(Индексы!B49&gt;0,Породы!$B$6," ")," ")</f>
        <v xml:space="preserve"> </v>
      </c>
      <c r="E50" s="31" t="str">
        <f>IF(AND(Индексы!B49&gt;=Породы!$C$7,Индексы!B49&lt;=Породы!$D$7,Индексы!C49&gt;=Породы!$E$7,Индексы!C49&lt;=Породы!$F$7,Индексы!D49&gt;=Породы!$G$7,Индексы!D49&lt;=Породы!$H$7),IF(Индексы!B49&gt;0,Породы!$B$7," ")," ")</f>
        <v xml:space="preserve"> </v>
      </c>
      <c r="F50" s="78" t="str">
        <f>IF(A50&gt;0,Индексы!B49,"")</f>
        <v/>
      </c>
    </row>
    <row r="51" spans="1:6" x14ac:dyDescent="0.25">
      <c r="A51" s="33">
        <f>Индексы!A50</f>
        <v>0</v>
      </c>
      <c r="B51" s="31" t="str">
        <f>IF(AND(Индексы!B50&gt;=Породы!$C$4,Индексы!B50&lt;=Породы!$D$4,Индексы!C50&gt;=Породы!$E$4,Индексы!C50&lt;=Породы!$F$4,Индексы!D50&gt;=Породы!$G$4,Индексы!D50&lt;=Породы!$H$4),IF(Индексы!B50&gt;0,Породы!$B$4," ")," ")</f>
        <v xml:space="preserve"> </v>
      </c>
      <c r="C51" s="31" t="str">
        <f>IF(AND(Индексы!B50&gt;=Породы!$C$5,Индексы!B50&lt;=Породы!$D$5,Индексы!C50&gt;=Породы!$E$5,Индексы!C50&lt;=Породы!$F$5,Индексы!D50&gt;=Породы!$G$5,Индексы!D50&lt;=Породы!$H$5),IF(Индексы!B50&gt;0,Породы!$B$5," ")," ")</f>
        <v xml:space="preserve"> </v>
      </c>
      <c r="D51" s="31" t="str">
        <f>IF(AND(Индексы!B50&gt;=Породы!$C$6,Индексы!B50&lt;=Породы!$D$6,Индексы!C50&gt;=Породы!$E$6,Индексы!C50&lt;=Породы!$F$6,Индексы!D50&gt;=Породы!$G$6,Индексы!D50&lt;=Породы!$H$6),IF(Индексы!B50&gt;0,Породы!$B$6," ")," ")</f>
        <v xml:space="preserve"> </v>
      </c>
      <c r="E51" s="31" t="str">
        <f>IF(AND(Индексы!B50&gt;=Породы!$C$7,Индексы!B50&lt;=Породы!$D$7,Индексы!C50&gt;=Породы!$E$7,Индексы!C50&lt;=Породы!$F$7,Индексы!D50&gt;=Породы!$G$7,Индексы!D50&lt;=Породы!$H$7),IF(Индексы!B50&gt;0,Породы!$B$7," ")," ")</f>
        <v xml:space="preserve"> </v>
      </c>
      <c r="F51" s="78" t="str">
        <f>IF(A51&gt;0,Индексы!B50,"")</f>
        <v/>
      </c>
    </row>
    <row r="52" spans="1:6" x14ac:dyDescent="0.25">
      <c r="A52" s="33">
        <f>Индексы!A51</f>
        <v>0</v>
      </c>
      <c r="B52" s="31" t="str">
        <f>IF(AND(Индексы!B51&gt;=Породы!$C$4,Индексы!B51&lt;=Породы!$D$4,Индексы!C51&gt;=Породы!$E$4,Индексы!C51&lt;=Породы!$F$4,Индексы!D51&gt;=Породы!$G$4,Индексы!D51&lt;=Породы!$H$4),IF(Индексы!B51&gt;0,Породы!$B$4," ")," ")</f>
        <v xml:space="preserve"> </v>
      </c>
      <c r="C52" s="31" t="str">
        <f>IF(AND(Индексы!B51&gt;=Породы!$C$5,Индексы!B51&lt;=Породы!$D$5,Индексы!C51&gt;=Породы!$E$5,Индексы!C51&lt;=Породы!$F$5,Индексы!D51&gt;=Породы!$G$5,Индексы!D51&lt;=Породы!$H$5),IF(Индексы!B51&gt;0,Породы!$B$5," ")," ")</f>
        <v xml:space="preserve"> </v>
      </c>
      <c r="D52" s="31" t="str">
        <f>IF(AND(Индексы!B51&gt;=Породы!$C$6,Индексы!B51&lt;=Породы!$D$6,Индексы!C51&gt;=Породы!$E$6,Индексы!C51&lt;=Породы!$F$6,Индексы!D51&gt;=Породы!$G$6,Индексы!D51&lt;=Породы!$H$6),IF(Индексы!B51&gt;0,Породы!$B$6," ")," ")</f>
        <v xml:space="preserve"> </v>
      </c>
      <c r="E52" s="31" t="str">
        <f>IF(AND(Индексы!B51&gt;=Породы!$C$7,Индексы!B51&lt;=Породы!$D$7,Индексы!C51&gt;=Породы!$E$7,Индексы!C51&lt;=Породы!$F$7,Индексы!D51&gt;=Породы!$G$7,Индексы!D51&lt;=Породы!$H$7),IF(Индексы!B51&gt;0,Породы!$B$7," ")," ")</f>
        <v xml:space="preserve"> </v>
      </c>
      <c r="F52" s="78" t="str">
        <f>IF(A52&gt;0,Индексы!B51,"")</f>
        <v/>
      </c>
    </row>
    <row r="53" spans="1:6" x14ac:dyDescent="0.25">
      <c r="A53" s="33">
        <f>Индексы!A52</f>
        <v>0</v>
      </c>
      <c r="B53" s="31" t="str">
        <f>IF(AND(Индексы!B52&gt;=Породы!$C$4,Индексы!B52&lt;=Породы!$D$4,Индексы!C52&gt;=Породы!$E$4,Индексы!C52&lt;=Породы!$F$4,Индексы!D52&gt;=Породы!$G$4,Индексы!D52&lt;=Породы!$H$4),IF(Индексы!B52&gt;0,Породы!$B$4," ")," ")</f>
        <v xml:space="preserve"> </v>
      </c>
      <c r="C53" s="31" t="str">
        <f>IF(AND(Индексы!B52&gt;=Породы!$C$5,Индексы!B52&lt;=Породы!$D$5,Индексы!C52&gt;=Породы!$E$5,Индексы!C52&lt;=Породы!$F$5,Индексы!D52&gt;=Породы!$G$5,Индексы!D52&lt;=Породы!$H$5),IF(Индексы!B52&gt;0,Породы!$B$5," ")," ")</f>
        <v xml:space="preserve"> </v>
      </c>
      <c r="D53" s="31" t="str">
        <f>IF(AND(Индексы!B52&gt;=Породы!$C$6,Индексы!B52&lt;=Породы!$D$6,Индексы!C52&gt;=Породы!$E$6,Индексы!C52&lt;=Породы!$F$6,Индексы!D52&gt;=Породы!$G$6,Индексы!D52&lt;=Породы!$H$6),IF(Индексы!B52&gt;0,Породы!$B$6," ")," ")</f>
        <v xml:space="preserve"> </v>
      </c>
      <c r="E53" s="31" t="str">
        <f>IF(AND(Индексы!B52&gt;=Породы!$C$7,Индексы!B52&lt;=Породы!$D$7,Индексы!C52&gt;=Породы!$E$7,Индексы!C52&lt;=Породы!$F$7,Индексы!D52&gt;=Породы!$G$7,Индексы!D52&lt;=Породы!$H$7),IF(Индексы!B52&gt;0,Породы!$B$7," ")," ")</f>
        <v xml:space="preserve"> </v>
      </c>
      <c r="F53" s="78" t="str">
        <f>IF(A53&gt;0,Индексы!B52,"")</f>
        <v/>
      </c>
    </row>
    <row r="54" spans="1:6" x14ac:dyDescent="0.25">
      <c r="A54" s="33">
        <f>Индексы!A53</f>
        <v>0</v>
      </c>
      <c r="B54" s="31" t="str">
        <f>IF(AND(Индексы!B53&gt;=Породы!$C$4,Индексы!B53&lt;=Породы!$D$4,Индексы!C53&gt;=Породы!$E$4,Индексы!C53&lt;=Породы!$F$4,Индексы!D53&gt;=Породы!$G$4,Индексы!D53&lt;=Породы!$H$4),IF(Индексы!B53&gt;0,Породы!$B$4," ")," ")</f>
        <v xml:space="preserve"> </v>
      </c>
      <c r="C54" s="31" t="str">
        <f>IF(AND(Индексы!B53&gt;=Породы!$C$5,Индексы!B53&lt;=Породы!$D$5,Индексы!C53&gt;=Породы!$E$5,Индексы!C53&lt;=Породы!$F$5,Индексы!D53&gt;=Породы!$G$5,Индексы!D53&lt;=Породы!$H$5),IF(Индексы!B53&gt;0,Породы!$B$5," ")," ")</f>
        <v xml:space="preserve"> </v>
      </c>
      <c r="D54" s="31" t="str">
        <f>IF(AND(Индексы!B53&gt;=Породы!$C$6,Индексы!B53&lt;=Породы!$D$6,Индексы!C53&gt;=Породы!$E$6,Индексы!C53&lt;=Породы!$F$6,Индексы!D53&gt;=Породы!$G$6,Индексы!D53&lt;=Породы!$H$6),IF(Индексы!B53&gt;0,Породы!$B$6," ")," ")</f>
        <v xml:space="preserve"> </v>
      </c>
      <c r="E54" s="31" t="str">
        <f>IF(AND(Индексы!B53&gt;=Породы!$C$7,Индексы!B53&lt;=Породы!$D$7,Индексы!C53&gt;=Породы!$E$7,Индексы!C53&lt;=Породы!$F$7,Индексы!D53&gt;=Породы!$G$7,Индексы!D53&lt;=Породы!$H$7),IF(Индексы!B53&gt;0,Породы!$B$7," ")," ")</f>
        <v xml:space="preserve"> </v>
      </c>
      <c r="F54" s="78" t="str">
        <f>IF(A54&gt;0,Индексы!B53,"")</f>
        <v/>
      </c>
    </row>
    <row r="55" spans="1:6" x14ac:dyDescent="0.25">
      <c r="A55" s="33">
        <f>Индексы!A54</f>
        <v>0</v>
      </c>
      <c r="B55" s="31" t="str">
        <f>IF(AND(Индексы!B54&gt;=Породы!$C$4,Индексы!B54&lt;=Породы!$D$4,Индексы!C54&gt;=Породы!$E$4,Индексы!C54&lt;=Породы!$F$4,Индексы!D54&gt;=Породы!$G$4,Индексы!D54&lt;=Породы!$H$4),IF(Индексы!B54&gt;0,Породы!$B$4," ")," ")</f>
        <v xml:space="preserve"> </v>
      </c>
      <c r="C55" s="31" t="str">
        <f>IF(AND(Индексы!B54&gt;=Породы!$C$5,Индексы!B54&lt;=Породы!$D$5,Индексы!C54&gt;=Породы!$E$5,Индексы!C54&lt;=Породы!$F$5,Индексы!D54&gt;=Породы!$G$5,Индексы!D54&lt;=Породы!$H$5),IF(Индексы!B54&gt;0,Породы!$B$5," ")," ")</f>
        <v xml:space="preserve"> </v>
      </c>
      <c r="D55" s="31" t="str">
        <f>IF(AND(Индексы!B54&gt;=Породы!$C$6,Индексы!B54&lt;=Породы!$D$6,Индексы!C54&gt;=Породы!$E$6,Индексы!C54&lt;=Породы!$F$6,Индексы!D54&gt;=Породы!$G$6,Индексы!D54&lt;=Породы!$H$6),IF(Индексы!B54&gt;0,Породы!$B$6," ")," ")</f>
        <v xml:space="preserve"> </v>
      </c>
      <c r="E55" s="31" t="str">
        <f>IF(AND(Индексы!B54&gt;=Породы!$C$7,Индексы!B54&lt;=Породы!$D$7,Индексы!C54&gt;=Породы!$E$7,Индексы!C54&lt;=Породы!$F$7,Индексы!D54&gt;=Породы!$G$7,Индексы!D54&lt;=Породы!$H$7),IF(Индексы!B54&gt;0,Породы!$B$7," ")," ")</f>
        <v xml:space="preserve"> </v>
      </c>
      <c r="F55" s="78" t="str">
        <f>IF(A55&gt;0,Индексы!B54,"")</f>
        <v/>
      </c>
    </row>
    <row r="56" spans="1:6" x14ac:dyDescent="0.25">
      <c r="A56" s="33">
        <f>Индексы!A55</f>
        <v>0</v>
      </c>
      <c r="B56" s="31" t="str">
        <f>IF(AND(Индексы!B55&gt;=Породы!$C$4,Индексы!B55&lt;=Породы!$D$4,Индексы!C55&gt;=Породы!$E$4,Индексы!C55&lt;=Породы!$F$4,Индексы!D55&gt;=Породы!$G$4,Индексы!D55&lt;=Породы!$H$4),IF(Индексы!B55&gt;0,Породы!$B$4," ")," ")</f>
        <v xml:space="preserve"> </v>
      </c>
      <c r="C56" s="31" t="str">
        <f>IF(AND(Индексы!B55&gt;=Породы!$C$5,Индексы!B55&lt;=Породы!$D$5,Индексы!C55&gt;=Породы!$E$5,Индексы!C55&lt;=Породы!$F$5,Индексы!D55&gt;=Породы!$G$5,Индексы!D55&lt;=Породы!$H$5),IF(Индексы!B55&gt;0,Породы!$B$5," ")," ")</f>
        <v xml:space="preserve"> </v>
      </c>
      <c r="D56" s="31" t="str">
        <f>IF(AND(Индексы!B55&gt;=Породы!$C$6,Индексы!B55&lt;=Породы!$D$6,Индексы!C55&gt;=Породы!$E$6,Индексы!C55&lt;=Породы!$F$6,Индексы!D55&gt;=Породы!$G$6,Индексы!D55&lt;=Породы!$H$6),IF(Индексы!B55&gt;0,Породы!$B$6," ")," ")</f>
        <v xml:space="preserve"> </v>
      </c>
      <c r="E56" s="31" t="str">
        <f>IF(AND(Индексы!B55&gt;=Породы!$C$7,Индексы!B55&lt;=Породы!$D$7,Индексы!C55&gt;=Породы!$E$7,Индексы!C55&lt;=Породы!$F$7,Индексы!D55&gt;=Породы!$G$7,Индексы!D55&lt;=Породы!$H$7),IF(Индексы!B55&gt;0,Породы!$B$7," ")," ")</f>
        <v xml:space="preserve"> </v>
      </c>
      <c r="F56" s="78" t="str">
        <f>IF(A56&gt;0,Индексы!B55,"")</f>
        <v/>
      </c>
    </row>
    <row r="57" spans="1:6" x14ac:dyDescent="0.25">
      <c r="A57" s="33">
        <f>Индексы!A56</f>
        <v>0</v>
      </c>
      <c r="B57" s="31" t="str">
        <f>IF(AND(Индексы!B56&gt;=Породы!$C$4,Индексы!B56&lt;=Породы!$D$4,Индексы!C56&gt;=Породы!$E$4,Индексы!C56&lt;=Породы!$F$4,Индексы!D56&gt;=Породы!$G$4,Индексы!D56&lt;=Породы!$H$4),IF(Индексы!B56&gt;0,Породы!$B$4," ")," ")</f>
        <v xml:space="preserve"> </v>
      </c>
      <c r="C57" s="31" t="str">
        <f>IF(AND(Индексы!B56&gt;=Породы!$C$5,Индексы!B56&lt;=Породы!$D$5,Индексы!C56&gt;=Породы!$E$5,Индексы!C56&lt;=Породы!$F$5,Индексы!D56&gt;=Породы!$G$5,Индексы!D56&lt;=Породы!$H$5),IF(Индексы!B56&gt;0,Породы!$B$5," ")," ")</f>
        <v xml:space="preserve"> </v>
      </c>
      <c r="D57" s="31" t="str">
        <f>IF(AND(Индексы!B56&gt;=Породы!$C$6,Индексы!B56&lt;=Породы!$D$6,Индексы!C56&gt;=Породы!$E$6,Индексы!C56&lt;=Породы!$F$6,Индексы!D56&gt;=Породы!$G$6,Индексы!D56&lt;=Породы!$H$6),IF(Индексы!B56&gt;0,Породы!$B$6," ")," ")</f>
        <v xml:space="preserve"> </v>
      </c>
      <c r="E57" s="31" t="str">
        <f>IF(AND(Индексы!B56&gt;=Породы!$C$7,Индексы!B56&lt;=Породы!$D$7,Индексы!C56&gt;=Породы!$E$7,Индексы!C56&lt;=Породы!$F$7,Индексы!D56&gt;=Породы!$G$7,Индексы!D56&lt;=Породы!$H$7),IF(Индексы!B56&gt;0,Породы!$B$7," ")," ")</f>
        <v xml:space="preserve"> </v>
      </c>
      <c r="F57" s="78" t="str">
        <f>IF(A57&gt;0,Индексы!B56,"")</f>
        <v/>
      </c>
    </row>
    <row r="58" spans="1:6" x14ac:dyDescent="0.25">
      <c r="A58" s="33">
        <f>Индексы!A57</f>
        <v>0</v>
      </c>
      <c r="B58" s="31" t="str">
        <f>IF(AND(Индексы!B57&gt;=Породы!$C$4,Индексы!B57&lt;=Породы!$D$4,Индексы!C57&gt;=Породы!$E$4,Индексы!C57&lt;=Породы!$F$4,Индексы!D57&gt;=Породы!$G$4,Индексы!D57&lt;=Породы!$H$4),IF(Индексы!B57&gt;0,Породы!$B$4," ")," ")</f>
        <v xml:space="preserve"> </v>
      </c>
      <c r="C58" s="31" t="str">
        <f>IF(AND(Индексы!B57&gt;=Породы!$C$5,Индексы!B57&lt;=Породы!$D$5,Индексы!C57&gt;=Породы!$E$5,Индексы!C57&lt;=Породы!$F$5,Индексы!D57&gt;=Породы!$G$5,Индексы!D57&lt;=Породы!$H$5),IF(Индексы!B57&gt;0,Породы!$B$5," ")," ")</f>
        <v xml:space="preserve"> </v>
      </c>
      <c r="D58" s="31" t="str">
        <f>IF(AND(Индексы!B57&gt;=Породы!$C$6,Индексы!B57&lt;=Породы!$D$6,Индексы!C57&gt;=Породы!$E$6,Индексы!C57&lt;=Породы!$F$6,Индексы!D57&gt;=Породы!$G$6,Индексы!D57&lt;=Породы!$H$6),IF(Индексы!B57&gt;0,Породы!$B$6," ")," ")</f>
        <v xml:space="preserve"> </v>
      </c>
      <c r="E58" s="31" t="str">
        <f>IF(AND(Индексы!B57&gt;=Породы!$C$7,Индексы!B57&lt;=Породы!$D$7,Индексы!C57&gt;=Породы!$E$7,Индексы!C57&lt;=Породы!$F$7,Индексы!D57&gt;=Породы!$G$7,Индексы!D57&lt;=Породы!$H$7),IF(Индексы!B57&gt;0,Породы!$B$7," ")," ")</f>
        <v xml:space="preserve"> </v>
      </c>
      <c r="F58" s="78" t="str">
        <f>IF(A58&gt;0,Индексы!B57,"")</f>
        <v/>
      </c>
    </row>
    <row r="59" spans="1:6" x14ac:dyDescent="0.25">
      <c r="A59" s="33">
        <f>Индексы!A58</f>
        <v>0</v>
      </c>
      <c r="B59" s="31" t="str">
        <f>IF(AND(Индексы!B58&gt;=Породы!$C$4,Индексы!B58&lt;=Породы!$D$4,Индексы!C58&gt;=Породы!$E$4,Индексы!C58&lt;=Породы!$F$4,Индексы!D58&gt;=Породы!$G$4,Индексы!D58&lt;=Породы!$H$4),IF(Индексы!B58&gt;0,Породы!$B$4," ")," ")</f>
        <v xml:space="preserve"> </v>
      </c>
      <c r="C59" s="31" t="str">
        <f>IF(AND(Индексы!B58&gt;=Породы!$C$5,Индексы!B58&lt;=Породы!$D$5,Индексы!C58&gt;=Породы!$E$5,Индексы!C58&lt;=Породы!$F$5,Индексы!D58&gt;=Породы!$G$5,Индексы!D58&lt;=Породы!$H$5),IF(Индексы!B58&gt;0,Породы!$B$5," ")," ")</f>
        <v xml:space="preserve"> </v>
      </c>
      <c r="D59" s="31" t="str">
        <f>IF(AND(Индексы!B58&gt;=Породы!$C$6,Индексы!B58&lt;=Породы!$D$6,Индексы!C58&gt;=Породы!$E$6,Индексы!C58&lt;=Породы!$F$6,Индексы!D58&gt;=Породы!$G$6,Индексы!D58&lt;=Породы!$H$6),IF(Индексы!B58&gt;0,Породы!$B$6," ")," ")</f>
        <v xml:space="preserve"> </v>
      </c>
      <c r="E59" s="31" t="str">
        <f>IF(AND(Индексы!B58&gt;=Породы!$C$7,Индексы!B58&lt;=Породы!$D$7,Индексы!C58&gt;=Породы!$E$7,Индексы!C58&lt;=Породы!$F$7,Индексы!D58&gt;=Породы!$G$7,Индексы!D58&lt;=Породы!$H$7),IF(Индексы!B58&gt;0,Породы!$B$7," ")," ")</f>
        <v xml:space="preserve"> </v>
      </c>
      <c r="F59" s="78" t="str">
        <f>IF(A59&gt;0,Индексы!B58,"")</f>
        <v/>
      </c>
    </row>
    <row r="60" spans="1:6" x14ac:dyDescent="0.25">
      <c r="A60" s="33">
        <f>Индексы!A59</f>
        <v>0</v>
      </c>
      <c r="B60" s="31" t="str">
        <f>IF(AND(Индексы!B59&gt;=Породы!$C$4,Индексы!B59&lt;=Породы!$D$4,Индексы!C59&gt;=Породы!$E$4,Индексы!C59&lt;=Породы!$F$4,Индексы!D59&gt;=Породы!$G$4,Индексы!D59&lt;=Породы!$H$4),IF(Индексы!B59&gt;0,Породы!$B$4," ")," ")</f>
        <v xml:space="preserve"> </v>
      </c>
      <c r="C60" s="31" t="str">
        <f>IF(AND(Индексы!B59&gt;=Породы!$C$5,Индексы!B59&lt;=Породы!$D$5,Индексы!C59&gt;=Породы!$E$5,Индексы!C59&lt;=Породы!$F$5,Индексы!D59&gt;=Породы!$G$5,Индексы!D59&lt;=Породы!$H$5),IF(Индексы!B59&gt;0,Породы!$B$5," ")," ")</f>
        <v xml:space="preserve"> </v>
      </c>
      <c r="D60" s="31" t="str">
        <f>IF(AND(Индексы!B59&gt;=Породы!$C$6,Индексы!B59&lt;=Породы!$D$6,Индексы!C59&gt;=Породы!$E$6,Индексы!C59&lt;=Породы!$F$6,Индексы!D59&gt;=Породы!$G$6,Индексы!D59&lt;=Породы!$H$6),IF(Индексы!B59&gt;0,Породы!$B$6," ")," ")</f>
        <v xml:space="preserve"> </v>
      </c>
      <c r="E60" s="31" t="str">
        <f>IF(AND(Индексы!B59&gt;=Породы!$C$7,Индексы!B59&lt;=Породы!$D$7,Индексы!C59&gt;=Породы!$E$7,Индексы!C59&lt;=Породы!$F$7,Индексы!D59&gt;=Породы!$G$7,Индексы!D59&lt;=Породы!$H$7),IF(Индексы!B59&gt;0,Породы!$B$7," ")," ")</f>
        <v xml:space="preserve"> </v>
      </c>
      <c r="F60" s="78" t="str">
        <f>IF(A60&gt;0,Индексы!B59,"")</f>
        <v/>
      </c>
    </row>
    <row r="61" spans="1:6" x14ac:dyDescent="0.25">
      <c r="A61" s="33">
        <f>Индексы!A60</f>
        <v>0</v>
      </c>
      <c r="B61" s="31" t="str">
        <f>IF(AND(Индексы!B60&gt;=Породы!$C$4,Индексы!B60&lt;=Породы!$D$4,Индексы!C60&gt;=Породы!$E$4,Индексы!C60&lt;=Породы!$F$4,Индексы!D60&gt;=Породы!$G$4,Индексы!D60&lt;=Породы!$H$4),IF(Индексы!B60&gt;0,Породы!$B$4," ")," ")</f>
        <v xml:space="preserve"> </v>
      </c>
      <c r="C61" s="31" t="str">
        <f>IF(AND(Индексы!B60&gt;=Породы!$C$5,Индексы!B60&lt;=Породы!$D$5,Индексы!C60&gt;=Породы!$E$5,Индексы!C60&lt;=Породы!$F$5,Индексы!D60&gt;=Породы!$G$5,Индексы!D60&lt;=Породы!$H$5),IF(Индексы!B60&gt;0,Породы!$B$5," ")," ")</f>
        <v xml:space="preserve"> </v>
      </c>
      <c r="D61" s="31" t="str">
        <f>IF(AND(Индексы!B60&gt;=Породы!$C$6,Индексы!B60&lt;=Породы!$D$6,Индексы!C60&gt;=Породы!$E$6,Индексы!C60&lt;=Породы!$F$6,Индексы!D60&gt;=Породы!$G$6,Индексы!D60&lt;=Породы!$H$6),IF(Индексы!B60&gt;0,Породы!$B$6," ")," ")</f>
        <v xml:space="preserve"> </v>
      </c>
      <c r="E61" s="31" t="str">
        <f>IF(AND(Индексы!B60&gt;=Породы!$C$7,Индексы!B60&lt;=Породы!$D$7,Индексы!C60&gt;=Породы!$E$7,Индексы!C60&lt;=Породы!$F$7,Индексы!D60&gt;=Породы!$G$7,Индексы!D60&lt;=Породы!$H$7),IF(Индексы!B60&gt;0,Породы!$B$7," ")," ")</f>
        <v xml:space="preserve"> </v>
      </c>
      <c r="F61" s="78" t="str">
        <f>IF(A61&gt;0,Индексы!B60,"")</f>
        <v/>
      </c>
    </row>
    <row r="62" spans="1:6" x14ac:dyDescent="0.25">
      <c r="A62" s="33">
        <f>Индексы!A61</f>
        <v>0</v>
      </c>
      <c r="B62" s="31" t="str">
        <f>IF(AND(Индексы!B61&gt;=Породы!$C$4,Индексы!B61&lt;=Породы!$D$4,Индексы!C61&gt;=Породы!$E$4,Индексы!C61&lt;=Породы!$F$4,Индексы!D61&gt;=Породы!$G$4,Индексы!D61&lt;=Породы!$H$4),IF(Индексы!B61&gt;0,Породы!$B$4," ")," ")</f>
        <v xml:space="preserve"> </v>
      </c>
      <c r="C62" s="31" t="str">
        <f>IF(AND(Индексы!B61&gt;=Породы!$C$5,Индексы!B61&lt;=Породы!$D$5,Индексы!C61&gt;=Породы!$E$5,Индексы!C61&lt;=Породы!$F$5,Индексы!D61&gt;=Породы!$G$5,Индексы!D61&lt;=Породы!$H$5),IF(Индексы!B61&gt;0,Породы!$B$5," ")," ")</f>
        <v xml:space="preserve"> </v>
      </c>
      <c r="D62" s="31" t="str">
        <f>IF(AND(Индексы!B61&gt;=Породы!$C$6,Индексы!B61&lt;=Породы!$D$6,Индексы!C61&gt;=Породы!$E$6,Индексы!C61&lt;=Породы!$F$6,Индексы!D61&gt;=Породы!$G$6,Индексы!D61&lt;=Породы!$H$6),IF(Индексы!B61&gt;0,Породы!$B$6," ")," ")</f>
        <v xml:space="preserve"> </v>
      </c>
      <c r="E62" s="31" t="str">
        <f>IF(AND(Индексы!B61&gt;=Породы!$C$7,Индексы!B61&lt;=Породы!$D$7,Индексы!C61&gt;=Породы!$E$7,Индексы!C61&lt;=Породы!$F$7,Индексы!D61&gt;=Породы!$G$7,Индексы!D61&lt;=Породы!$H$7),IF(Индексы!B61&gt;0,Породы!$B$7," ")," ")</f>
        <v xml:space="preserve"> </v>
      </c>
      <c r="F62" s="78" t="str">
        <f>IF(A62&gt;0,Индексы!B61,"")</f>
        <v/>
      </c>
    </row>
    <row r="63" spans="1:6" x14ac:dyDescent="0.25">
      <c r="A63" s="33">
        <f>Индексы!A62</f>
        <v>0</v>
      </c>
      <c r="B63" s="31" t="str">
        <f>IF(AND(Индексы!B62&gt;=Породы!$C$4,Индексы!B62&lt;=Породы!$D$4,Индексы!C62&gt;=Породы!$E$4,Индексы!C62&lt;=Породы!$F$4,Индексы!D62&gt;=Породы!$G$4,Индексы!D62&lt;=Породы!$H$4),IF(Индексы!B62&gt;0,Породы!$B$4," ")," ")</f>
        <v xml:space="preserve"> </v>
      </c>
      <c r="C63" s="31" t="str">
        <f>IF(AND(Индексы!B62&gt;=Породы!$C$5,Индексы!B62&lt;=Породы!$D$5,Индексы!C62&gt;=Породы!$E$5,Индексы!C62&lt;=Породы!$F$5,Индексы!D62&gt;=Породы!$G$5,Индексы!D62&lt;=Породы!$H$5),IF(Индексы!B62&gt;0,Породы!$B$5," ")," ")</f>
        <v xml:space="preserve"> </v>
      </c>
      <c r="D63" s="31" t="str">
        <f>IF(AND(Индексы!B62&gt;=Породы!$C$6,Индексы!B62&lt;=Породы!$D$6,Индексы!C62&gt;=Породы!$E$6,Индексы!C62&lt;=Породы!$F$6,Индексы!D62&gt;=Породы!$G$6,Индексы!D62&lt;=Породы!$H$6),IF(Индексы!B62&gt;0,Породы!$B$6," ")," ")</f>
        <v xml:space="preserve"> </v>
      </c>
      <c r="E63" s="31" t="str">
        <f>IF(AND(Индексы!B62&gt;=Породы!$C$7,Индексы!B62&lt;=Породы!$D$7,Индексы!C62&gt;=Породы!$E$7,Индексы!C62&lt;=Породы!$F$7,Индексы!D62&gt;=Породы!$G$7,Индексы!D62&lt;=Породы!$H$7),IF(Индексы!B62&gt;0,Породы!$B$7," ")," ")</f>
        <v xml:space="preserve"> </v>
      </c>
      <c r="F63" s="78" t="str">
        <f>IF(A63&gt;0,Индексы!B62,"")</f>
        <v/>
      </c>
    </row>
    <row r="64" spans="1:6" x14ac:dyDescent="0.25">
      <c r="A64" s="33">
        <f>Индексы!A63</f>
        <v>0</v>
      </c>
      <c r="B64" s="31" t="str">
        <f>IF(AND(Индексы!B63&gt;=Породы!$C$4,Индексы!B63&lt;=Породы!$D$4,Индексы!C63&gt;=Породы!$E$4,Индексы!C63&lt;=Породы!$F$4,Индексы!D63&gt;=Породы!$G$4,Индексы!D63&lt;=Породы!$H$4),IF(Индексы!B63&gt;0,Породы!$B$4," ")," ")</f>
        <v xml:space="preserve"> </v>
      </c>
      <c r="C64" s="31" t="str">
        <f>IF(AND(Индексы!B63&gt;=Породы!$C$5,Индексы!B63&lt;=Породы!$D$5,Индексы!C63&gt;=Породы!$E$5,Индексы!C63&lt;=Породы!$F$5,Индексы!D63&gt;=Породы!$G$5,Индексы!D63&lt;=Породы!$H$5),IF(Индексы!B63&gt;0,Породы!$B$5," ")," ")</f>
        <v xml:space="preserve"> </v>
      </c>
      <c r="D64" s="31" t="str">
        <f>IF(AND(Индексы!B63&gt;=Породы!$C$6,Индексы!B63&lt;=Породы!$D$6,Индексы!C63&gt;=Породы!$E$6,Индексы!C63&lt;=Породы!$F$6,Индексы!D63&gt;=Породы!$G$6,Индексы!D63&lt;=Породы!$H$6),IF(Индексы!B63&gt;0,Породы!$B$6," ")," ")</f>
        <v xml:space="preserve"> </v>
      </c>
      <c r="E64" s="31" t="str">
        <f>IF(AND(Индексы!B63&gt;=Породы!$C$7,Индексы!B63&lt;=Породы!$D$7,Индексы!C63&gt;=Породы!$E$7,Индексы!C63&lt;=Породы!$F$7,Индексы!D63&gt;=Породы!$G$7,Индексы!D63&lt;=Породы!$H$7),IF(Индексы!B63&gt;0,Породы!$B$7," ")," ")</f>
        <v xml:space="preserve"> </v>
      </c>
      <c r="F64" s="78" t="str">
        <f>IF(A64&gt;0,Индексы!B63,"")</f>
        <v/>
      </c>
    </row>
    <row r="65" spans="1:6" x14ac:dyDescent="0.25">
      <c r="A65" s="33">
        <f>Индексы!A64</f>
        <v>0</v>
      </c>
      <c r="B65" s="31" t="str">
        <f>IF(AND(Индексы!B64&gt;=Породы!$C$4,Индексы!B64&lt;=Породы!$D$4,Индексы!C64&gt;=Породы!$E$4,Индексы!C64&lt;=Породы!$F$4,Индексы!D64&gt;=Породы!$G$4,Индексы!D64&lt;=Породы!$H$4),IF(Индексы!B64&gt;0,Породы!$B$4," ")," ")</f>
        <v xml:space="preserve"> </v>
      </c>
      <c r="C65" s="31" t="str">
        <f>IF(AND(Индексы!B64&gt;=Породы!$C$5,Индексы!B64&lt;=Породы!$D$5,Индексы!C64&gt;=Породы!$E$5,Индексы!C64&lt;=Породы!$F$5,Индексы!D64&gt;=Породы!$G$5,Индексы!D64&lt;=Породы!$H$5),IF(Индексы!B64&gt;0,Породы!$B$5," ")," ")</f>
        <v xml:space="preserve"> </v>
      </c>
      <c r="D65" s="31" t="str">
        <f>IF(AND(Индексы!B64&gt;=Породы!$C$6,Индексы!B64&lt;=Породы!$D$6,Индексы!C64&gt;=Породы!$E$6,Индексы!C64&lt;=Породы!$F$6,Индексы!D64&gt;=Породы!$G$6,Индексы!D64&lt;=Породы!$H$6),IF(Индексы!B64&gt;0,Породы!$B$6," ")," ")</f>
        <v xml:space="preserve"> </v>
      </c>
      <c r="E65" s="31" t="str">
        <f>IF(AND(Индексы!B64&gt;=Породы!$C$7,Индексы!B64&lt;=Породы!$D$7,Индексы!C64&gt;=Породы!$E$7,Индексы!C64&lt;=Породы!$F$7,Индексы!D64&gt;=Породы!$G$7,Индексы!D64&lt;=Породы!$H$7),IF(Индексы!B64&gt;0,Породы!$B$7," ")," ")</f>
        <v xml:space="preserve"> </v>
      </c>
      <c r="F65" s="78" t="str">
        <f>IF(A65&gt;0,Индексы!B64,"")</f>
        <v/>
      </c>
    </row>
    <row r="66" spans="1:6" x14ac:dyDescent="0.25">
      <c r="A66" s="33">
        <f>Индексы!A65</f>
        <v>0</v>
      </c>
      <c r="B66" s="31" t="str">
        <f>IF(AND(Индексы!B65&gt;=Породы!$C$4,Индексы!B65&lt;=Породы!$D$4,Индексы!C65&gt;=Породы!$E$4,Индексы!C65&lt;=Породы!$F$4,Индексы!D65&gt;=Породы!$G$4,Индексы!D65&lt;=Породы!$H$4),IF(Индексы!B65&gt;0,Породы!$B$4," ")," ")</f>
        <v xml:space="preserve"> </v>
      </c>
      <c r="C66" s="31" t="str">
        <f>IF(AND(Индексы!B65&gt;=Породы!$C$5,Индексы!B65&lt;=Породы!$D$5,Индексы!C65&gt;=Породы!$E$5,Индексы!C65&lt;=Породы!$F$5,Индексы!D65&gt;=Породы!$G$5,Индексы!D65&lt;=Породы!$H$5),IF(Индексы!B65&gt;0,Породы!$B$5," ")," ")</f>
        <v xml:space="preserve"> </v>
      </c>
      <c r="D66" s="31" t="str">
        <f>IF(AND(Индексы!B65&gt;=Породы!$C$6,Индексы!B65&lt;=Породы!$D$6,Индексы!C65&gt;=Породы!$E$6,Индексы!C65&lt;=Породы!$F$6,Индексы!D65&gt;=Породы!$G$6,Индексы!D65&lt;=Породы!$H$6),IF(Индексы!B65&gt;0,Породы!$B$6," ")," ")</f>
        <v xml:space="preserve"> </v>
      </c>
      <c r="E66" s="31" t="str">
        <f>IF(AND(Индексы!B65&gt;=Породы!$C$7,Индексы!B65&lt;=Породы!$D$7,Индексы!C65&gt;=Породы!$E$7,Индексы!C65&lt;=Породы!$F$7,Индексы!D65&gt;=Породы!$G$7,Индексы!D65&lt;=Породы!$H$7),IF(Индексы!B65&gt;0,Породы!$B$7," ")," ")</f>
        <v xml:space="preserve"> </v>
      </c>
      <c r="F66" s="78" t="str">
        <f>IF(A66&gt;0,Индексы!B65,"")</f>
        <v/>
      </c>
    </row>
    <row r="67" spans="1:6" x14ac:dyDescent="0.25">
      <c r="A67" s="33">
        <f>Индексы!A66</f>
        <v>0</v>
      </c>
      <c r="B67" s="31" t="str">
        <f>IF(AND(Индексы!B66&gt;=Породы!$C$4,Индексы!B66&lt;=Породы!$D$4,Индексы!C66&gt;=Породы!$E$4,Индексы!C66&lt;=Породы!$F$4,Индексы!D66&gt;=Породы!$G$4,Индексы!D66&lt;=Породы!$H$4),IF(Индексы!B66&gt;0,Породы!$B$4," ")," ")</f>
        <v xml:space="preserve"> </v>
      </c>
      <c r="C67" s="31" t="str">
        <f>IF(AND(Индексы!B66&gt;=Породы!$C$5,Индексы!B66&lt;=Породы!$D$5,Индексы!C66&gt;=Породы!$E$5,Индексы!C66&lt;=Породы!$F$5,Индексы!D66&gt;=Породы!$G$5,Индексы!D66&lt;=Породы!$H$5),IF(Индексы!B66&gt;0,Породы!$B$5," ")," ")</f>
        <v xml:space="preserve"> </v>
      </c>
      <c r="D67" s="31" t="str">
        <f>IF(AND(Индексы!B66&gt;=Породы!$C$6,Индексы!B66&lt;=Породы!$D$6,Индексы!C66&gt;=Породы!$E$6,Индексы!C66&lt;=Породы!$F$6,Индексы!D66&gt;=Породы!$G$6,Индексы!D66&lt;=Породы!$H$6),IF(Индексы!B66&gt;0,Породы!$B$6," ")," ")</f>
        <v xml:space="preserve"> </v>
      </c>
      <c r="E67" s="31" t="str">
        <f>IF(AND(Индексы!B66&gt;=Породы!$C$7,Индексы!B66&lt;=Породы!$D$7,Индексы!C66&gt;=Породы!$E$7,Индексы!C66&lt;=Породы!$F$7,Индексы!D66&gt;=Породы!$G$7,Индексы!D66&lt;=Породы!$H$7),IF(Индексы!B66&gt;0,Породы!$B$7," ")," ")</f>
        <v xml:space="preserve"> </v>
      </c>
      <c r="F67" s="78" t="str">
        <f>IF(A67&gt;0,Индексы!B66,"")</f>
        <v/>
      </c>
    </row>
    <row r="68" spans="1:6" x14ac:dyDescent="0.25">
      <c r="A68" s="33">
        <f>Индексы!A67</f>
        <v>0</v>
      </c>
      <c r="B68" s="31" t="str">
        <f>IF(AND(Индексы!B67&gt;=Породы!$C$4,Индексы!B67&lt;=Породы!$D$4,Индексы!C67&gt;=Породы!$E$4,Индексы!C67&lt;=Породы!$F$4,Индексы!D67&gt;=Породы!$G$4,Индексы!D67&lt;=Породы!$H$4),IF(Индексы!B67&gt;0,Породы!$B$4," ")," ")</f>
        <v xml:space="preserve"> </v>
      </c>
      <c r="C68" s="31" t="str">
        <f>IF(AND(Индексы!B67&gt;=Породы!$C$5,Индексы!B67&lt;=Породы!$D$5,Индексы!C67&gt;=Породы!$E$5,Индексы!C67&lt;=Породы!$F$5,Индексы!D67&gt;=Породы!$G$5,Индексы!D67&lt;=Породы!$H$5),IF(Индексы!B67&gt;0,Породы!$B$5," ")," ")</f>
        <v xml:space="preserve"> </v>
      </c>
      <c r="D68" s="31" t="str">
        <f>IF(AND(Индексы!B67&gt;=Породы!$C$6,Индексы!B67&lt;=Породы!$D$6,Индексы!C67&gt;=Породы!$E$6,Индексы!C67&lt;=Породы!$F$6,Индексы!D67&gt;=Породы!$G$6,Индексы!D67&lt;=Породы!$H$6),IF(Индексы!B67&gt;0,Породы!$B$6," ")," ")</f>
        <v xml:space="preserve"> </v>
      </c>
      <c r="E68" s="31" t="str">
        <f>IF(AND(Индексы!B67&gt;=Породы!$C$7,Индексы!B67&lt;=Породы!$D$7,Индексы!C67&gt;=Породы!$E$7,Индексы!C67&lt;=Породы!$F$7,Индексы!D67&gt;=Породы!$G$7,Индексы!D67&lt;=Породы!$H$7),IF(Индексы!B67&gt;0,Породы!$B$7," ")," ")</f>
        <v xml:space="preserve"> </v>
      </c>
      <c r="F68" s="78" t="str">
        <f>IF(A68&gt;0,Индексы!B67,"")</f>
        <v/>
      </c>
    </row>
    <row r="69" spans="1:6" x14ac:dyDescent="0.25">
      <c r="A69" s="33">
        <f>Индексы!A68</f>
        <v>0</v>
      </c>
      <c r="B69" s="31" t="str">
        <f>IF(AND(Индексы!B68&gt;=Породы!$C$4,Индексы!B68&lt;=Породы!$D$4,Индексы!C68&gt;=Породы!$E$4,Индексы!C68&lt;=Породы!$F$4,Индексы!D68&gt;=Породы!$G$4,Индексы!D68&lt;=Породы!$H$4),IF(Индексы!B68&gt;0,Породы!$B$4," ")," ")</f>
        <v xml:space="preserve"> </v>
      </c>
      <c r="C69" s="31" t="str">
        <f>IF(AND(Индексы!B68&gt;=Породы!$C$5,Индексы!B68&lt;=Породы!$D$5,Индексы!C68&gt;=Породы!$E$5,Индексы!C68&lt;=Породы!$F$5,Индексы!D68&gt;=Породы!$G$5,Индексы!D68&lt;=Породы!$H$5),IF(Индексы!B68&gt;0,Породы!$B$5," ")," ")</f>
        <v xml:space="preserve"> </v>
      </c>
      <c r="D69" s="31" t="str">
        <f>IF(AND(Индексы!B68&gt;=Породы!$C$6,Индексы!B68&lt;=Породы!$D$6,Индексы!C68&gt;=Породы!$E$6,Индексы!C68&lt;=Породы!$F$6,Индексы!D68&gt;=Породы!$G$6,Индексы!D68&lt;=Породы!$H$6),IF(Индексы!B68&gt;0,Породы!$B$6," ")," ")</f>
        <v xml:space="preserve"> </v>
      </c>
      <c r="E69" s="31" t="str">
        <f>IF(AND(Индексы!B68&gt;=Породы!$C$7,Индексы!B68&lt;=Породы!$D$7,Индексы!C68&gt;=Породы!$E$7,Индексы!C68&lt;=Породы!$F$7,Индексы!D68&gt;=Породы!$G$7,Индексы!D68&lt;=Породы!$H$7),IF(Индексы!B68&gt;0,Породы!$B$7," ")," ")</f>
        <v xml:space="preserve"> </v>
      </c>
      <c r="F69" s="78" t="str">
        <f>IF(A69&gt;0,Индексы!B68,"")</f>
        <v/>
      </c>
    </row>
    <row r="70" spans="1:6" x14ac:dyDescent="0.25">
      <c r="A70" s="33">
        <f>Индексы!A69</f>
        <v>0</v>
      </c>
      <c r="B70" s="31" t="str">
        <f>IF(AND(Индексы!B69&gt;=Породы!$C$4,Индексы!B69&lt;=Породы!$D$4,Индексы!C69&gt;=Породы!$E$4,Индексы!C69&lt;=Породы!$F$4,Индексы!D69&gt;=Породы!$G$4,Индексы!D69&lt;=Породы!$H$4),IF(Индексы!B69&gt;0,Породы!$B$4," ")," ")</f>
        <v xml:space="preserve"> </v>
      </c>
      <c r="C70" s="31" t="str">
        <f>IF(AND(Индексы!B69&gt;=Породы!$C$5,Индексы!B69&lt;=Породы!$D$5,Индексы!C69&gt;=Породы!$E$5,Индексы!C69&lt;=Породы!$F$5,Индексы!D69&gt;=Породы!$G$5,Индексы!D69&lt;=Породы!$H$5),IF(Индексы!B69&gt;0,Породы!$B$5," ")," ")</f>
        <v xml:space="preserve"> </v>
      </c>
      <c r="D70" s="31" t="str">
        <f>IF(AND(Индексы!B69&gt;=Породы!$C$6,Индексы!B69&lt;=Породы!$D$6,Индексы!C69&gt;=Породы!$E$6,Индексы!C69&lt;=Породы!$F$6,Индексы!D69&gt;=Породы!$G$6,Индексы!D69&lt;=Породы!$H$6),IF(Индексы!B69&gt;0,Породы!$B$6," ")," ")</f>
        <v xml:space="preserve"> </v>
      </c>
      <c r="E70" s="31" t="str">
        <f>IF(AND(Индексы!B69&gt;=Породы!$C$7,Индексы!B69&lt;=Породы!$D$7,Индексы!C69&gt;=Породы!$E$7,Индексы!C69&lt;=Породы!$F$7,Индексы!D69&gt;=Породы!$G$7,Индексы!D69&lt;=Породы!$H$7),IF(Индексы!B69&gt;0,Породы!$B$7," ")," ")</f>
        <v xml:space="preserve"> </v>
      </c>
      <c r="F70" s="78" t="str">
        <f>IF(A70&gt;0,Индексы!B69,"")</f>
        <v/>
      </c>
    </row>
    <row r="71" spans="1:6" x14ac:dyDescent="0.25">
      <c r="A71" s="33">
        <f>Индексы!A70</f>
        <v>0</v>
      </c>
      <c r="B71" s="31" t="str">
        <f>IF(AND(Индексы!B70&gt;=Породы!$C$4,Индексы!B70&lt;=Породы!$D$4,Индексы!C70&gt;=Породы!$E$4,Индексы!C70&lt;=Породы!$F$4,Индексы!D70&gt;=Породы!$G$4,Индексы!D70&lt;=Породы!$H$4),IF(Индексы!B70&gt;0,Породы!$B$4," ")," ")</f>
        <v xml:space="preserve"> </v>
      </c>
      <c r="C71" s="31" t="str">
        <f>IF(AND(Индексы!B70&gt;=Породы!$C$5,Индексы!B70&lt;=Породы!$D$5,Индексы!C70&gt;=Породы!$E$5,Индексы!C70&lt;=Породы!$F$5,Индексы!D70&gt;=Породы!$G$5,Индексы!D70&lt;=Породы!$H$5),IF(Индексы!B70&gt;0,Породы!$B$5," ")," ")</f>
        <v xml:space="preserve"> </v>
      </c>
      <c r="D71" s="31" t="str">
        <f>IF(AND(Индексы!B70&gt;=Породы!$C$6,Индексы!B70&lt;=Породы!$D$6,Индексы!C70&gt;=Породы!$E$6,Индексы!C70&lt;=Породы!$F$6,Индексы!D70&gt;=Породы!$G$6,Индексы!D70&lt;=Породы!$H$6),IF(Индексы!B70&gt;0,Породы!$B$6," ")," ")</f>
        <v xml:space="preserve"> </v>
      </c>
      <c r="E71" s="31" t="str">
        <f>IF(AND(Индексы!B70&gt;=Породы!$C$7,Индексы!B70&lt;=Породы!$D$7,Индексы!C70&gt;=Породы!$E$7,Индексы!C70&lt;=Породы!$F$7,Индексы!D70&gt;=Породы!$G$7,Индексы!D70&lt;=Породы!$H$7),IF(Индексы!B70&gt;0,Породы!$B$7," ")," ")</f>
        <v xml:space="preserve"> </v>
      </c>
      <c r="F71" s="78" t="str">
        <f>IF(A71&gt;0,Индексы!B70,"")</f>
        <v/>
      </c>
    </row>
    <row r="72" spans="1:6" x14ac:dyDescent="0.25">
      <c r="A72" s="33">
        <f>Индексы!A71</f>
        <v>0</v>
      </c>
      <c r="B72" s="31" t="str">
        <f>IF(AND(Индексы!B71&gt;=Породы!$C$4,Индексы!B71&lt;=Породы!$D$4,Индексы!C71&gt;=Породы!$E$4,Индексы!C71&lt;=Породы!$F$4,Индексы!D71&gt;=Породы!$G$4,Индексы!D71&lt;=Породы!$H$4),IF(Индексы!B71&gt;0,Породы!$B$4," ")," ")</f>
        <v xml:space="preserve"> </v>
      </c>
      <c r="C72" s="31" t="str">
        <f>IF(AND(Индексы!B71&gt;=Породы!$C$5,Индексы!B71&lt;=Породы!$D$5,Индексы!C71&gt;=Породы!$E$5,Индексы!C71&lt;=Породы!$F$5,Индексы!D71&gt;=Породы!$G$5,Индексы!D71&lt;=Породы!$H$5),IF(Индексы!B71&gt;0,Породы!$B$5," ")," ")</f>
        <v xml:space="preserve"> </v>
      </c>
      <c r="D72" s="31" t="str">
        <f>IF(AND(Индексы!B71&gt;=Породы!$C$6,Индексы!B71&lt;=Породы!$D$6,Индексы!C71&gt;=Породы!$E$6,Индексы!C71&lt;=Породы!$F$6,Индексы!D71&gt;=Породы!$G$6,Индексы!D71&lt;=Породы!$H$6),IF(Индексы!B71&gt;0,Породы!$B$6," ")," ")</f>
        <v xml:space="preserve"> </v>
      </c>
      <c r="E72" s="31" t="str">
        <f>IF(AND(Индексы!B71&gt;=Породы!$C$7,Индексы!B71&lt;=Породы!$D$7,Индексы!C71&gt;=Породы!$E$7,Индексы!C71&lt;=Породы!$F$7,Индексы!D71&gt;=Породы!$G$7,Индексы!D71&lt;=Породы!$H$7),IF(Индексы!B71&gt;0,Породы!$B$7," ")," ")</f>
        <v xml:space="preserve"> </v>
      </c>
      <c r="F72" s="78" t="str">
        <f>IF(A72&gt;0,Индексы!B71,"")</f>
        <v/>
      </c>
    </row>
    <row r="73" spans="1:6" x14ac:dyDescent="0.25">
      <c r="A73" s="33">
        <f>Индексы!A72</f>
        <v>0</v>
      </c>
      <c r="B73" s="31" t="str">
        <f>IF(AND(Индексы!B72&gt;=Породы!$C$4,Индексы!B72&lt;=Породы!$D$4,Индексы!C72&gt;=Породы!$E$4,Индексы!C72&lt;=Породы!$F$4,Индексы!D72&gt;=Породы!$G$4,Индексы!D72&lt;=Породы!$H$4),IF(Индексы!B72&gt;0,Породы!$B$4," ")," ")</f>
        <v xml:space="preserve"> </v>
      </c>
      <c r="C73" s="31" t="str">
        <f>IF(AND(Индексы!B72&gt;=Породы!$C$5,Индексы!B72&lt;=Породы!$D$5,Индексы!C72&gt;=Породы!$E$5,Индексы!C72&lt;=Породы!$F$5,Индексы!D72&gt;=Породы!$G$5,Индексы!D72&lt;=Породы!$H$5),IF(Индексы!B72&gt;0,Породы!$B$5," ")," ")</f>
        <v xml:space="preserve"> </v>
      </c>
      <c r="D73" s="31" t="str">
        <f>IF(AND(Индексы!B72&gt;=Породы!$C$6,Индексы!B72&lt;=Породы!$D$6,Индексы!C72&gt;=Породы!$E$6,Индексы!C72&lt;=Породы!$F$6,Индексы!D72&gt;=Породы!$G$6,Индексы!D72&lt;=Породы!$H$6),IF(Индексы!B72&gt;0,Породы!$B$6," ")," ")</f>
        <v xml:space="preserve"> </v>
      </c>
      <c r="E73" s="31" t="str">
        <f>IF(AND(Индексы!B72&gt;=Породы!$C$7,Индексы!B72&lt;=Породы!$D$7,Индексы!C72&gt;=Породы!$E$7,Индексы!C72&lt;=Породы!$F$7,Индексы!D72&gt;=Породы!$G$7,Индексы!D72&lt;=Породы!$H$7),IF(Индексы!B72&gt;0,Породы!$B$7," ")," ")</f>
        <v xml:space="preserve"> </v>
      </c>
      <c r="F73" s="78" t="str">
        <f>IF(A73&gt;0,Индексы!B72,"")</f>
        <v/>
      </c>
    </row>
    <row r="74" spans="1:6" x14ac:dyDescent="0.25">
      <c r="A74" s="33">
        <f>Индексы!A73</f>
        <v>0</v>
      </c>
      <c r="B74" s="31" t="str">
        <f>IF(AND(Индексы!B73&gt;=Породы!$C$4,Индексы!B73&lt;=Породы!$D$4,Индексы!C73&gt;=Породы!$E$4,Индексы!C73&lt;=Породы!$F$4,Индексы!D73&gt;=Породы!$G$4,Индексы!D73&lt;=Породы!$H$4),IF(Индексы!B73&gt;0,Породы!$B$4," ")," ")</f>
        <v xml:space="preserve"> </v>
      </c>
      <c r="C74" s="31" t="str">
        <f>IF(AND(Индексы!B73&gt;=Породы!$C$5,Индексы!B73&lt;=Породы!$D$5,Индексы!C73&gt;=Породы!$E$5,Индексы!C73&lt;=Породы!$F$5,Индексы!D73&gt;=Породы!$G$5,Индексы!D73&lt;=Породы!$H$5),IF(Индексы!B73&gt;0,Породы!$B$5," ")," ")</f>
        <v xml:space="preserve"> </v>
      </c>
      <c r="D74" s="31" t="str">
        <f>IF(AND(Индексы!B73&gt;=Породы!$C$6,Индексы!B73&lt;=Породы!$D$6,Индексы!C73&gt;=Породы!$E$6,Индексы!C73&lt;=Породы!$F$6,Индексы!D73&gt;=Породы!$G$6,Индексы!D73&lt;=Породы!$H$6),IF(Индексы!B73&gt;0,Породы!$B$6," ")," ")</f>
        <v xml:space="preserve"> </v>
      </c>
      <c r="E74" s="31" t="str">
        <f>IF(AND(Индексы!B73&gt;=Породы!$C$7,Индексы!B73&lt;=Породы!$D$7,Индексы!C73&gt;=Породы!$E$7,Индексы!C73&lt;=Породы!$F$7,Индексы!D73&gt;=Породы!$G$7,Индексы!D73&lt;=Породы!$H$7),IF(Индексы!B73&gt;0,Породы!$B$7," ")," ")</f>
        <v xml:space="preserve"> </v>
      </c>
      <c r="F74" s="78" t="str">
        <f>IF(A74&gt;0,Индексы!B73,"")</f>
        <v/>
      </c>
    </row>
    <row r="75" spans="1:6" x14ac:dyDescent="0.25">
      <c r="A75" s="33">
        <f>Индексы!A74</f>
        <v>0</v>
      </c>
      <c r="B75" s="31" t="str">
        <f>IF(AND(Индексы!B74&gt;=Породы!$C$4,Индексы!B74&lt;=Породы!$D$4,Индексы!C74&gt;=Породы!$E$4,Индексы!C74&lt;=Породы!$F$4,Индексы!D74&gt;=Породы!$G$4,Индексы!D74&lt;=Породы!$H$4),IF(Индексы!B74&gt;0,Породы!$B$4," ")," ")</f>
        <v xml:space="preserve"> </v>
      </c>
      <c r="C75" s="31" t="str">
        <f>IF(AND(Индексы!B74&gt;=Породы!$C$5,Индексы!B74&lt;=Породы!$D$5,Индексы!C74&gt;=Породы!$E$5,Индексы!C74&lt;=Породы!$F$5,Индексы!D74&gt;=Породы!$G$5,Индексы!D74&lt;=Породы!$H$5),IF(Индексы!B74&gt;0,Породы!$B$5," ")," ")</f>
        <v xml:space="preserve"> </v>
      </c>
      <c r="D75" s="31" t="str">
        <f>IF(AND(Индексы!B74&gt;=Породы!$C$6,Индексы!B74&lt;=Породы!$D$6,Индексы!C74&gt;=Породы!$E$6,Индексы!C74&lt;=Породы!$F$6,Индексы!D74&gt;=Породы!$G$6,Индексы!D74&lt;=Породы!$H$6),IF(Индексы!B74&gt;0,Породы!$B$6," ")," ")</f>
        <v xml:space="preserve"> </v>
      </c>
      <c r="E75" s="31" t="str">
        <f>IF(AND(Индексы!B74&gt;=Породы!$C$7,Индексы!B74&lt;=Породы!$D$7,Индексы!C74&gt;=Породы!$E$7,Индексы!C74&lt;=Породы!$F$7,Индексы!D74&gt;=Породы!$G$7,Индексы!D74&lt;=Породы!$H$7),IF(Индексы!B74&gt;0,Породы!$B$7," ")," ")</f>
        <v xml:space="preserve"> </v>
      </c>
      <c r="F75" s="78" t="str">
        <f>IF(A75&gt;0,Индексы!B74,"")</f>
        <v/>
      </c>
    </row>
    <row r="76" spans="1:6" x14ac:dyDescent="0.25">
      <c r="A76" s="33">
        <f>Индексы!A75</f>
        <v>0</v>
      </c>
      <c r="B76" s="31" t="str">
        <f>IF(AND(Индексы!B75&gt;=Породы!$C$4,Индексы!B75&lt;=Породы!$D$4,Индексы!C75&gt;=Породы!$E$4,Индексы!C75&lt;=Породы!$F$4,Индексы!D75&gt;=Породы!$G$4,Индексы!D75&lt;=Породы!$H$4),IF(Индексы!B75&gt;0,Породы!$B$4," ")," ")</f>
        <v xml:space="preserve"> </v>
      </c>
      <c r="C76" s="31" t="str">
        <f>IF(AND(Индексы!B75&gt;=Породы!$C$5,Индексы!B75&lt;=Породы!$D$5,Индексы!C75&gt;=Породы!$E$5,Индексы!C75&lt;=Породы!$F$5,Индексы!D75&gt;=Породы!$G$5,Индексы!D75&lt;=Породы!$H$5),IF(Индексы!B75&gt;0,Породы!$B$5," ")," ")</f>
        <v xml:space="preserve"> </v>
      </c>
      <c r="D76" s="31" t="str">
        <f>IF(AND(Индексы!B75&gt;=Породы!$C$6,Индексы!B75&lt;=Породы!$D$6,Индексы!C75&gt;=Породы!$E$6,Индексы!C75&lt;=Породы!$F$6,Индексы!D75&gt;=Породы!$G$6,Индексы!D75&lt;=Породы!$H$6),IF(Индексы!B75&gt;0,Породы!$B$6," ")," ")</f>
        <v xml:space="preserve"> </v>
      </c>
      <c r="E76" s="31" t="str">
        <f>IF(AND(Индексы!B75&gt;=Породы!$C$7,Индексы!B75&lt;=Породы!$D$7,Индексы!C75&gt;=Породы!$E$7,Индексы!C75&lt;=Породы!$F$7,Индексы!D75&gt;=Породы!$G$7,Индексы!D75&lt;=Породы!$H$7),IF(Индексы!B75&gt;0,Породы!$B$7," ")," ")</f>
        <v xml:space="preserve"> </v>
      </c>
      <c r="F76" s="78" t="str">
        <f>IF(A76&gt;0,Индексы!B75,"")</f>
        <v/>
      </c>
    </row>
    <row r="77" spans="1:6" x14ac:dyDescent="0.25">
      <c r="A77" s="33">
        <f>Индексы!A76</f>
        <v>0</v>
      </c>
      <c r="B77" s="31" t="str">
        <f>IF(AND(Индексы!B76&gt;=Породы!$C$4,Индексы!B76&lt;=Породы!$D$4,Индексы!C76&gt;=Породы!$E$4,Индексы!C76&lt;=Породы!$F$4,Индексы!D76&gt;=Породы!$G$4,Индексы!D76&lt;=Породы!$H$4),IF(Индексы!B76&gt;0,Породы!$B$4," ")," ")</f>
        <v xml:space="preserve"> </v>
      </c>
      <c r="C77" s="31" t="str">
        <f>IF(AND(Индексы!B76&gt;=Породы!$C$5,Индексы!B76&lt;=Породы!$D$5,Индексы!C76&gt;=Породы!$E$5,Индексы!C76&lt;=Породы!$F$5,Индексы!D76&gt;=Породы!$G$5,Индексы!D76&lt;=Породы!$H$5),IF(Индексы!B76&gt;0,Породы!$B$5," ")," ")</f>
        <v xml:space="preserve"> </v>
      </c>
      <c r="D77" s="31" t="str">
        <f>IF(AND(Индексы!B76&gt;=Породы!$C$6,Индексы!B76&lt;=Породы!$D$6,Индексы!C76&gt;=Породы!$E$6,Индексы!C76&lt;=Породы!$F$6,Индексы!D76&gt;=Породы!$G$6,Индексы!D76&lt;=Породы!$H$6),IF(Индексы!B76&gt;0,Породы!$B$6," ")," ")</f>
        <v xml:space="preserve"> </v>
      </c>
      <c r="E77" s="31" t="str">
        <f>IF(AND(Индексы!B76&gt;=Породы!$C$7,Индексы!B76&lt;=Породы!$D$7,Индексы!C76&gt;=Породы!$E$7,Индексы!C76&lt;=Породы!$F$7,Индексы!D76&gt;=Породы!$G$7,Индексы!D76&lt;=Породы!$H$7),IF(Индексы!B76&gt;0,Породы!$B$7," ")," ")</f>
        <v xml:space="preserve"> </v>
      </c>
      <c r="F77" s="78" t="str">
        <f>IF(A77&gt;0,Индексы!B76,"")</f>
        <v/>
      </c>
    </row>
    <row r="78" spans="1:6" x14ac:dyDescent="0.25">
      <c r="A78" s="33">
        <f>Индексы!A77</f>
        <v>0</v>
      </c>
      <c r="B78" s="31" t="str">
        <f>IF(AND(Индексы!B77&gt;=Породы!$C$4,Индексы!B77&lt;=Породы!$D$4,Индексы!C77&gt;=Породы!$E$4,Индексы!C77&lt;=Породы!$F$4,Индексы!D77&gt;=Породы!$G$4,Индексы!D77&lt;=Породы!$H$4),IF(Индексы!B77&gt;0,Породы!$B$4," ")," ")</f>
        <v xml:space="preserve"> </v>
      </c>
      <c r="C78" s="31" t="str">
        <f>IF(AND(Индексы!B77&gt;=Породы!$C$5,Индексы!B77&lt;=Породы!$D$5,Индексы!C77&gt;=Породы!$E$5,Индексы!C77&lt;=Породы!$F$5,Индексы!D77&gt;=Породы!$G$5,Индексы!D77&lt;=Породы!$H$5),IF(Индексы!B77&gt;0,Породы!$B$5," ")," ")</f>
        <v xml:space="preserve"> </v>
      </c>
      <c r="D78" s="31" t="str">
        <f>IF(AND(Индексы!B77&gt;=Породы!$C$6,Индексы!B77&lt;=Породы!$D$6,Индексы!C77&gt;=Породы!$E$6,Индексы!C77&lt;=Породы!$F$6,Индексы!D77&gt;=Породы!$G$6,Индексы!D77&lt;=Породы!$H$6),IF(Индексы!B77&gt;0,Породы!$B$6," ")," ")</f>
        <v xml:space="preserve"> </v>
      </c>
      <c r="E78" s="31" t="str">
        <f>IF(AND(Индексы!B77&gt;=Породы!$C$7,Индексы!B77&lt;=Породы!$D$7,Индексы!C77&gt;=Породы!$E$7,Индексы!C77&lt;=Породы!$F$7,Индексы!D77&gt;=Породы!$G$7,Индексы!D77&lt;=Породы!$H$7),IF(Индексы!B77&gt;0,Породы!$B$7," ")," ")</f>
        <v xml:space="preserve"> </v>
      </c>
      <c r="F78" s="78" t="str">
        <f>IF(A78&gt;0,Индексы!B77,"")</f>
        <v/>
      </c>
    </row>
    <row r="79" spans="1:6" x14ac:dyDescent="0.25">
      <c r="A79" s="33">
        <f>Индексы!A78</f>
        <v>0</v>
      </c>
      <c r="B79" s="31" t="str">
        <f>IF(AND(Индексы!B78&gt;=Породы!$C$4,Индексы!B78&lt;=Породы!$D$4,Индексы!C78&gt;=Породы!$E$4,Индексы!C78&lt;=Породы!$F$4,Индексы!D78&gt;=Породы!$G$4,Индексы!D78&lt;=Породы!$H$4),IF(Индексы!B78&gt;0,Породы!$B$4," ")," ")</f>
        <v xml:space="preserve"> </v>
      </c>
      <c r="C79" s="31" t="str">
        <f>IF(AND(Индексы!B78&gt;=Породы!$C$5,Индексы!B78&lt;=Породы!$D$5,Индексы!C78&gt;=Породы!$E$5,Индексы!C78&lt;=Породы!$F$5,Индексы!D78&gt;=Породы!$G$5,Индексы!D78&lt;=Породы!$H$5),IF(Индексы!B78&gt;0,Породы!$B$5," ")," ")</f>
        <v xml:space="preserve"> </v>
      </c>
      <c r="D79" s="31" t="str">
        <f>IF(AND(Индексы!B78&gt;=Породы!$C$6,Индексы!B78&lt;=Породы!$D$6,Индексы!C78&gt;=Породы!$E$6,Индексы!C78&lt;=Породы!$F$6,Индексы!D78&gt;=Породы!$G$6,Индексы!D78&lt;=Породы!$H$6),IF(Индексы!B78&gt;0,Породы!$B$6," ")," ")</f>
        <v xml:space="preserve"> </v>
      </c>
      <c r="E79" s="31" t="str">
        <f>IF(AND(Индексы!B78&gt;=Породы!$C$7,Индексы!B78&lt;=Породы!$D$7,Индексы!C78&gt;=Породы!$E$7,Индексы!C78&lt;=Породы!$F$7,Индексы!D78&gt;=Породы!$G$7,Индексы!D78&lt;=Породы!$H$7),IF(Индексы!B78&gt;0,Породы!$B$7," ")," ")</f>
        <v xml:space="preserve"> </v>
      </c>
      <c r="F79" s="78" t="str">
        <f>IF(A79&gt;0,Индексы!B78,"")</f>
        <v/>
      </c>
    </row>
    <row r="80" spans="1:6" x14ac:dyDescent="0.25">
      <c r="A80" s="33">
        <f>Индексы!A79</f>
        <v>0</v>
      </c>
      <c r="B80" s="31" t="str">
        <f>IF(AND(Индексы!B79&gt;=Породы!$C$4,Индексы!B79&lt;=Породы!$D$4,Индексы!C79&gt;=Породы!$E$4,Индексы!C79&lt;=Породы!$F$4,Индексы!D79&gt;=Породы!$G$4,Индексы!D79&lt;=Породы!$H$4),IF(Индексы!B79&gt;0,Породы!$B$4," ")," ")</f>
        <v xml:space="preserve"> </v>
      </c>
      <c r="C80" s="31" t="str">
        <f>IF(AND(Индексы!B79&gt;=Породы!$C$5,Индексы!B79&lt;=Породы!$D$5,Индексы!C79&gt;=Породы!$E$5,Индексы!C79&lt;=Породы!$F$5,Индексы!D79&gt;=Породы!$G$5,Индексы!D79&lt;=Породы!$H$5),IF(Индексы!B79&gt;0,Породы!$B$5," ")," ")</f>
        <v xml:space="preserve"> </v>
      </c>
      <c r="D80" s="31" t="str">
        <f>IF(AND(Индексы!B79&gt;=Породы!$C$6,Индексы!B79&lt;=Породы!$D$6,Индексы!C79&gt;=Породы!$E$6,Индексы!C79&lt;=Породы!$F$6,Индексы!D79&gt;=Породы!$G$6,Индексы!D79&lt;=Породы!$H$6),IF(Индексы!B79&gt;0,Породы!$B$6," ")," ")</f>
        <v xml:space="preserve"> </v>
      </c>
      <c r="E80" s="31" t="str">
        <f>IF(AND(Индексы!B79&gt;=Породы!$C$7,Индексы!B79&lt;=Породы!$D$7,Индексы!C79&gt;=Породы!$E$7,Индексы!C79&lt;=Породы!$F$7,Индексы!D79&gt;=Породы!$G$7,Индексы!D79&lt;=Породы!$H$7),IF(Индексы!B79&gt;0,Породы!$B$7," ")," ")</f>
        <v xml:space="preserve"> </v>
      </c>
      <c r="F80" s="78" t="str">
        <f>IF(A80&gt;0,Индексы!B79,"")</f>
        <v/>
      </c>
    </row>
    <row r="81" spans="1:6" x14ac:dyDescent="0.25">
      <c r="A81" s="33">
        <f>Индексы!A80</f>
        <v>0</v>
      </c>
      <c r="B81" s="31" t="str">
        <f>IF(AND(Индексы!B80&gt;=Породы!$C$4,Индексы!B80&lt;=Породы!$D$4,Индексы!C80&gt;=Породы!$E$4,Индексы!C80&lt;=Породы!$F$4,Индексы!D80&gt;=Породы!$G$4,Индексы!D80&lt;=Породы!$H$4),IF(Индексы!B80&gt;0,Породы!$B$4," ")," ")</f>
        <v xml:space="preserve"> </v>
      </c>
      <c r="C81" s="31" t="str">
        <f>IF(AND(Индексы!B80&gt;=Породы!$C$5,Индексы!B80&lt;=Породы!$D$5,Индексы!C80&gt;=Породы!$E$5,Индексы!C80&lt;=Породы!$F$5,Индексы!D80&gt;=Породы!$G$5,Индексы!D80&lt;=Породы!$H$5),IF(Индексы!B80&gt;0,Породы!$B$5," ")," ")</f>
        <v xml:space="preserve"> </v>
      </c>
      <c r="D81" s="31" t="str">
        <f>IF(AND(Индексы!B80&gt;=Породы!$C$6,Индексы!B80&lt;=Породы!$D$6,Индексы!C80&gt;=Породы!$E$6,Индексы!C80&lt;=Породы!$F$6,Индексы!D80&gt;=Породы!$G$6,Индексы!D80&lt;=Породы!$H$6),IF(Индексы!B80&gt;0,Породы!$B$6," ")," ")</f>
        <v xml:space="preserve"> </v>
      </c>
      <c r="E81" s="31" t="str">
        <f>IF(AND(Индексы!B80&gt;=Породы!$C$7,Индексы!B80&lt;=Породы!$D$7,Индексы!C80&gt;=Породы!$E$7,Индексы!C80&lt;=Породы!$F$7,Индексы!D80&gt;=Породы!$G$7,Индексы!D80&lt;=Породы!$H$7),IF(Индексы!B80&gt;0,Породы!$B$7," ")," ")</f>
        <v xml:space="preserve"> </v>
      </c>
      <c r="F81" s="78" t="str">
        <f>IF(A81&gt;0,Индексы!B80,"")</f>
        <v/>
      </c>
    </row>
    <row r="82" spans="1:6" x14ac:dyDescent="0.25">
      <c r="A82" s="33">
        <f>Индексы!A81</f>
        <v>0</v>
      </c>
      <c r="B82" s="31" t="str">
        <f>IF(AND(Индексы!B81&gt;=Породы!$C$4,Индексы!B81&lt;=Породы!$D$4,Индексы!C81&gt;=Породы!$E$4,Индексы!C81&lt;=Породы!$F$4,Индексы!D81&gt;=Породы!$G$4,Индексы!D81&lt;=Породы!$H$4),IF(Индексы!B81&gt;0,Породы!$B$4," ")," ")</f>
        <v xml:space="preserve"> </v>
      </c>
      <c r="C82" s="31" t="str">
        <f>IF(AND(Индексы!B81&gt;=Породы!$C$5,Индексы!B81&lt;=Породы!$D$5,Индексы!C81&gt;=Породы!$E$5,Индексы!C81&lt;=Породы!$F$5,Индексы!D81&gt;=Породы!$G$5,Индексы!D81&lt;=Породы!$H$5),IF(Индексы!B81&gt;0,Породы!$B$5," ")," ")</f>
        <v xml:space="preserve"> </v>
      </c>
      <c r="D82" s="31" t="str">
        <f>IF(AND(Индексы!B81&gt;=Породы!$C$6,Индексы!B81&lt;=Породы!$D$6,Индексы!C81&gt;=Породы!$E$6,Индексы!C81&lt;=Породы!$F$6,Индексы!D81&gt;=Породы!$G$6,Индексы!D81&lt;=Породы!$H$6),IF(Индексы!B81&gt;0,Породы!$B$6," ")," ")</f>
        <v xml:space="preserve"> </v>
      </c>
      <c r="E82" s="31" t="str">
        <f>IF(AND(Индексы!B81&gt;=Породы!$C$7,Индексы!B81&lt;=Породы!$D$7,Индексы!C81&gt;=Породы!$E$7,Индексы!C81&lt;=Породы!$F$7,Индексы!D81&gt;=Породы!$G$7,Индексы!D81&lt;=Породы!$H$7),IF(Индексы!B81&gt;0,Породы!$B$7," ")," ")</f>
        <v xml:space="preserve"> </v>
      </c>
      <c r="F82" s="78" t="str">
        <f>IF(A82&gt;0,Индексы!B81,"")</f>
        <v/>
      </c>
    </row>
    <row r="83" spans="1:6" x14ac:dyDescent="0.25">
      <c r="A83" s="33">
        <f>Индексы!A82</f>
        <v>0</v>
      </c>
      <c r="B83" s="31" t="str">
        <f>IF(AND(Индексы!B82&gt;=Породы!$C$4,Индексы!B82&lt;=Породы!$D$4,Индексы!C82&gt;=Породы!$E$4,Индексы!C82&lt;=Породы!$F$4,Индексы!D82&gt;=Породы!$G$4,Индексы!D82&lt;=Породы!$H$4),IF(Индексы!B82&gt;0,Породы!$B$4," ")," ")</f>
        <v xml:space="preserve"> </v>
      </c>
      <c r="C83" s="31" t="str">
        <f>IF(AND(Индексы!B82&gt;=Породы!$C$5,Индексы!B82&lt;=Породы!$D$5,Индексы!C82&gt;=Породы!$E$5,Индексы!C82&lt;=Породы!$F$5,Индексы!D82&gt;=Породы!$G$5,Индексы!D82&lt;=Породы!$H$5),IF(Индексы!B82&gt;0,Породы!$B$5," ")," ")</f>
        <v xml:space="preserve"> </v>
      </c>
      <c r="D83" s="31" t="str">
        <f>IF(AND(Индексы!B82&gt;=Породы!$C$6,Индексы!B82&lt;=Породы!$D$6,Индексы!C82&gt;=Породы!$E$6,Индексы!C82&lt;=Породы!$F$6,Индексы!D82&gt;=Породы!$G$6,Индексы!D82&lt;=Породы!$H$6),IF(Индексы!B82&gt;0,Породы!$B$6," ")," ")</f>
        <v xml:space="preserve"> </v>
      </c>
      <c r="E83" s="31" t="str">
        <f>IF(AND(Индексы!B82&gt;=Породы!$C$7,Индексы!B82&lt;=Породы!$D$7,Индексы!C82&gt;=Породы!$E$7,Индексы!C82&lt;=Породы!$F$7,Индексы!D82&gt;=Породы!$G$7,Индексы!D82&lt;=Породы!$H$7),IF(Индексы!B82&gt;0,Породы!$B$7," ")," ")</f>
        <v xml:space="preserve"> </v>
      </c>
      <c r="F83" s="78" t="str">
        <f>IF(A83&gt;0,Индексы!B82,"")</f>
        <v/>
      </c>
    </row>
    <row r="84" spans="1:6" x14ac:dyDescent="0.25">
      <c r="A84" s="33">
        <f>Индексы!A83</f>
        <v>0</v>
      </c>
      <c r="B84" s="31" t="str">
        <f>IF(AND(Индексы!B83&gt;=Породы!$C$4,Индексы!B83&lt;=Породы!$D$4,Индексы!C83&gt;=Породы!$E$4,Индексы!C83&lt;=Породы!$F$4,Индексы!D83&gt;=Породы!$G$4,Индексы!D83&lt;=Породы!$H$4),IF(Индексы!B83&gt;0,Породы!$B$4," ")," ")</f>
        <v xml:space="preserve"> </v>
      </c>
      <c r="C84" s="31" t="str">
        <f>IF(AND(Индексы!B83&gt;=Породы!$C$5,Индексы!B83&lt;=Породы!$D$5,Индексы!C83&gt;=Породы!$E$5,Индексы!C83&lt;=Породы!$F$5,Индексы!D83&gt;=Породы!$G$5,Индексы!D83&lt;=Породы!$H$5),IF(Индексы!B83&gt;0,Породы!$B$5," ")," ")</f>
        <v xml:space="preserve"> </v>
      </c>
      <c r="D84" s="31" t="str">
        <f>IF(AND(Индексы!B83&gt;=Породы!$C$6,Индексы!B83&lt;=Породы!$D$6,Индексы!C83&gt;=Породы!$E$6,Индексы!C83&lt;=Породы!$F$6,Индексы!D83&gt;=Породы!$G$6,Индексы!D83&lt;=Породы!$H$6),IF(Индексы!B83&gt;0,Породы!$B$6," ")," ")</f>
        <v xml:space="preserve"> </v>
      </c>
      <c r="E84" s="31" t="str">
        <f>IF(AND(Индексы!B83&gt;=Породы!$C$7,Индексы!B83&lt;=Породы!$D$7,Индексы!C83&gt;=Породы!$E$7,Индексы!C83&lt;=Породы!$F$7,Индексы!D83&gt;=Породы!$G$7,Индексы!D83&lt;=Породы!$H$7),IF(Индексы!B83&gt;0,Породы!$B$7," ")," ")</f>
        <v xml:space="preserve"> </v>
      </c>
      <c r="F84" s="78" t="str">
        <f>IF(A84&gt;0,Индексы!B83,"")</f>
        <v/>
      </c>
    </row>
    <row r="85" spans="1:6" x14ac:dyDescent="0.25">
      <c r="A85" s="33">
        <f>Индексы!A84</f>
        <v>0</v>
      </c>
      <c r="B85" s="31" t="str">
        <f>IF(AND(Индексы!B84&gt;=Породы!$C$4,Индексы!B84&lt;=Породы!$D$4,Индексы!C84&gt;=Породы!$E$4,Индексы!C84&lt;=Породы!$F$4,Индексы!D84&gt;=Породы!$G$4,Индексы!D84&lt;=Породы!$H$4),IF(Индексы!B84&gt;0,Породы!$B$4," ")," ")</f>
        <v xml:space="preserve"> </v>
      </c>
      <c r="C85" s="31" t="str">
        <f>IF(AND(Индексы!B84&gt;=Породы!$C$5,Индексы!B84&lt;=Породы!$D$5,Индексы!C84&gt;=Породы!$E$5,Индексы!C84&lt;=Породы!$F$5,Индексы!D84&gt;=Породы!$G$5,Индексы!D84&lt;=Породы!$H$5),IF(Индексы!B84&gt;0,Породы!$B$5," ")," ")</f>
        <v xml:space="preserve"> </v>
      </c>
      <c r="D85" s="31" t="str">
        <f>IF(AND(Индексы!B84&gt;=Породы!$C$6,Индексы!B84&lt;=Породы!$D$6,Индексы!C84&gt;=Породы!$E$6,Индексы!C84&lt;=Породы!$F$6,Индексы!D84&gt;=Породы!$G$6,Индексы!D84&lt;=Породы!$H$6),IF(Индексы!B84&gt;0,Породы!$B$6," ")," ")</f>
        <v xml:space="preserve"> </v>
      </c>
      <c r="E85" s="31" t="str">
        <f>IF(AND(Индексы!B84&gt;=Породы!$C$7,Индексы!B84&lt;=Породы!$D$7,Индексы!C84&gt;=Породы!$E$7,Индексы!C84&lt;=Породы!$F$7,Индексы!D84&gt;=Породы!$G$7,Индексы!D84&lt;=Породы!$H$7),IF(Индексы!B84&gt;0,Породы!$B$7," ")," ")</f>
        <v xml:space="preserve"> </v>
      </c>
      <c r="F85" s="78" t="str">
        <f>IF(A85&gt;0,Индексы!B84,"")</f>
        <v/>
      </c>
    </row>
    <row r="86" spans="1:6" x14ac:dyDescent="0.25">
      <c r="A86" s="33">
        <f>Индексы!A85</f>
        <v>0</v>
      </c>
      <c r="B86" s="31" t="str">
        <f>IF(AND(Индексы!B85&gt;=Породы!$C$4,Индексы!B85&lt;=Породы!$D$4,Индексы!C85&gt;=Породы!$E$4,Индексы!C85&lt;=Породы!$F$4,Индексы!D85&gt;=Породы!$G$4,Индексы!D85&lt;=Породы!$H$4),IF(Индексы!B85&gt;0,Породы!$B$4," ")," ")</f>
        <v xml:space="preserve"> </v>
      </c>
      <c r="C86" s="31" t="str">
        <f>IF(AND(Индексы!B85&gt;=Породы!$C$5,Индексы!B85&lt;=Породы!$D$5,Индексы!C85&gt;=Породы!$E$5,Индексы!C85&lt;=Породы!$F$5,Индексы!D85&gt;=Породы!$G$5,Индексы!D85&lt;=Породы!$H$5),IF(Индексы!B85&gt;0,Породы!$B$5," ")," ")</f>
        <v xml:space="preserve"> </v>
      </c>
      <c r="D86" s="31" t="str">
        <f>IF(AND(Индексы!B85&gt;=Породы!$C$6,Индексы!B85&lt;=Породы!$D$6,Индексы!C85&gt;=Породы!$E$6,Индексы!C85&lt;=Породы!$F$6,Индексы!D85&gt;=Породы!$G$6,Индексы!D85&lt;=Породы!$H$6),IF(Индексы!B85&gt;0,Породы!$B$6," ")," ")</f>
        <v xml:space="preserve"> </v>
      </c>
      <c r="E86" s="31" t="str">
        <f>IF(AND(Индексы!B85&gt;=Породы!$C$7,Индексы!B85&lt;=Породы!$D$7,Индексы!C85&gt;=Породы!$E$7,Индексы!C85&lt;=Породы!$F$7,Индексы!D85&gt;=Породы!$G$7,Индексы!D85&lt;=Породы!$H$7),IF(Индексы!B85&gt;0,Породы!$B$7," ")," ")</f>
        <v xml:space="preserve"> </v>
      </c>
      <c r="F86" s="78" t="str">
        <f>IF(A86&gt;0,Индексы!B85,"")</f>
        <v/>
      </c>
    </row>
    <row r="87" spans="1:6" x14ac:dyDescent="0.25">
      <c r="A87" s="33">
        <f>Индексы!A86</f>
        <v>0</v>
      </c>
      <c r="B87" s="31" t="str">
        <f>IF(AND(Индексы!B86&gt;=Породы!$C$4,Индексы!B86&lt;=Породы!$D$4,Индексы!C86&gt;=Породы!$E$4,Индексы!C86&lt;=Породы!$F$4,Индексы!D86&gt;=Породы!$G$4,Индексы!D86&lt;=Породы!$H$4),IF(Индексы!B86&gt;0,Породы!$B$4," ")," ")</f>
        <v xml:space="preserve"> </v>
      </c>
      <c r="C87" s="31" t="str">
        <f>IF(AND(Индексы!B86&gt;=Породы!$C$5,Индексы!B86&lt;=Породы!$D$5,Индексы!C86&gt;=Породы!$E$5,Индексы!C86&lt;=Породы!$F$5,Индексы!D86&gt;=Породы!$G$5,Индексы!D86&lt;=Породы!$H$5),IF(Индексы!B86&gt;0,Породы!$B$5," ")," ")</f>
        <v xml:space="preserve"> </v>
      </c>
      <c r="D87" s="31" t="str">
        <f>IF(AND(Индексы!B86&gt;=Породы!$C$6,Индексы!B86&lt;=Породы!$D$6,Индексы!C86&gt;=Породы!$E$6,Индексы!C86&lt;=Породы!$F$6,Индексы!D86&gt;=Породы!$G$6,Индексы!D86&lt;=Породы!$H$6),IF(Индексы!B86&gt;0,Породы!$B$6," ")," ")</f>
        <v xml:space="preserve"> </v>
      </c>
      <c r="E87" s="31" t="str">
        <f>IF(AND(Индексы!B86&gt;=Породы!$C$7,Индексы!B86&lt;=Породы!$D$7,Индексы!C86&gt;=Породы!$E$7,Индексы!C86&lt;=Породы!$F$7,Индексы!D86&gt;=Породы!$G$7,Индексы!D86&lt;=Породы!$H$7),IF(Индексы!B86&gt;0,Породы!$B$7," ")," ")</f>
        <v xml:space="preserve"> </v>
      </c>
      <c r="F87" s="78" t="str">
        <f>IF(A87&gt;0,Индексы!B86,"")</f>
        <v/>
      </c>
    </row>
    <row r="88" spans="1:6" x14ac:dyDescent="0.25">
      <c r="A88" s="33">
        <f>Индексы!A87</f>
        <v>0</v>
      </c>
      <c r="B88" s="31" t="str">
        <f>IF(AND(Индексы!B87&gt;=Породы!$C$4,Индексы!B87&lt;=Породы!$D$4,Индексы!C87&gt;=Породы!$E$4,Индексы!C87&lt;=Породы!$F$4,Индексы!D87&gt;=Породы!$G$4,Индексы!D87&lt;=Породы!$H$4),IF(Индексы!B87&gt;0,Породы!$B$4," ")," ")</f>
        <v xml:space="preserve"> </v>
      </c>
      <c r="C88" s="31" t="str">
        <f>IF(AND(Индексы!B87&gt;=Породы!$C$5,Индексы!B87&lt;=Породы!$D$5,Индексы!C87&gt;=Породы!$E$5,Индексы!C87&lt;=Породы!$F$5,Индексы!D87&gt;=Породы!$G$5,Индексы!D87&lt;=Породы!$H$5),IF(Индексы!B87&gt;0,Породы!$B$5," ")," ")</f>
        <v xml:space="preserve"> </v>
      </c>
      <c r="D88" s="31" t="str">
        <f>IF(AND(Индексы!B87&gt;=Породы!$C$6,Индексы!B87&lt;=Породы!$D$6,Индексы!C87&gt;=Породы!$E$6,Индексы!C87&lt;=Породы!$F$6,Индексы!D87&gt;=Породы!$G$6,Индексы!D87&lt;=Породы!$H$6),IF(Индексы!B87&gt;0,Породы!$B$6," ")," ")</f>
        <v xml:space="preserve"> </v>
      </c>
      <c r="E88" s="31" t="str">
        <f>IF(AND(Индексы!B87&gt;=Породы!$C$7,Индексы!B87&lt;=Породы!$D$7,Индексы!C87&gt;=Породы!$E$7,Индексы!C87&lt;=Породы!$F$7,Индексы!D87&gt;=Породы!$G$7,Индексы!D87&lt;=Породы!$H$7),IF(Индексы!B87&gt;0,Породы!$B$7," ")," ")</f>
        <v xml:space="preserve"> </v>
      </c>
      <c r="F88" s="78" t="str">
        <f>IF(A88&gt;0,Индексы!B87,"")</f>
        <v/>
      </c>
    </row>
    <row r="89" spans="1:6" x14ac:dyDescent="0.25">
      <c r="A89" s="33">
        <f>Индексы!A88</f>
        <v>0</v>
      </c>
      <c r="B89" s="31" t="str">
        <f>IF(AND(Индексы!B88&gt;=Породы!$C$4,Индексы!B88&lt;=Породы!$D$4,Индексы!C88&gt;=Породы!$E$4,Индексы!C88&lt;=Породы!$F$4,Индексы!D88&gt;=Породы!$G$4,Индексы!D88&lt;=Породы!$H$4),IF(Индексы!B88&gt;0,Породы!$B$4," ")," ")</f>
        <v xml:space="preserve"> </v>
      </c>
      <c r="C89" s="31" t="str">
        <f>IF(AND(Индексы!B88&gt;=Породы!$C$5,Индексы!B88&lt;=Породы!$D$5,Индексы!C88&gt;=Породы!$E$5,Индексы!C88&lt;=Породы!$F$5,Индексы!D88&gt;=Породы!$G$5,Индексы!D88&lt;=Породы!$H$5),IF(Индексы!B88&gt;0,Породы!$B$5," ")," ")</f>
        <v xml:space="preserve"> </v>
      </c>
      <c r="D89" s="31" t="str">
        <f>IF(AND(Индексы!B88&gt;=Породы!$C$6,Индексы!B88&lt;=Породы!$D$6,Индексы!C88&gt;=Породы!$E$6,Индексы!C88&lt;=Породы!$F$6,Индексы!D88&gt;=Породы!$G$6,Индексы!D88&lt;=Породы!$H$6),IF(Индексы!B88&gt;0,Породы!$B$6," ")," ")</f>
        <v xml:space="preserve"> </v>
      </c>
      <c r="E89" s="31" t="str">
        <f>IF(AND(Индексы!B88&gt;=Породы!$C$7,Индексы!B88&lt;=Породы!$D$7,Индексы!C88&gt;=Породы!$E$7,Индексы!C88&lt;=Породы!$F$7,Индексы!D88&gt;=Породы!$G$7,Индексы!D88&lt;=Породы!$H$7),IF(Индексы!B88&gt;0,Породы!$B$7," ")," ")</f>
        <v xml:space="preserve"> </v>
      </c>
      <c r="F89" s="78" t="str">
        <f>IF(A89&gt;0,Индексы!B88,"")</f>
        <v/>
      </c>
    </row>
    <row r="90" spans="1:6" x14ac:dyDescent="0.25">
      <c r="A90" s="33">
        <f>Индексы!A89</f>
        <v>0</v>
      </c>
      <c r="B90" s="31" t="str">
        <f>IF(AND(Индексы!B89&gt;=Породы!$C$4,Индексы!B89&lt;=Породы!$D$4,Индексы!C89&gt;=Породы!$E$4,Индексы!C89&lt;=Породы!$F$4,Индексы!D89&gt;=Породы!$G$4,Индексы!D89&lt;=Породы!$H$4),IF(Индексы!B89&gt;0,Породы!$B$4," ")," ")</f>
        <v xml:space="preserve"> </v>
      </c>
      <c r="C90" s="31" t="str">
        <f>IF(AND(Индексы!B89&gt;=Породы!$C$5,Индексы!B89&lt;=Породы!$D$5,Индексы!C89&gt;=Породы!$E$5,Индексы!C89&lt;=Породы!$F$5,Индексы!D89&gt;=Породы!$G$5,Индексы!D89&lt;=Породы!$H$5),IF(Индексы!B89&gt;0,Породы!$B$5," ")," ")</f>
        <v xml:space="preserve"> </v>
      </c>
      <c r="D90" s="31" t="str">
        <f>IF(AND(Индексы!B89&gt;=Породы!$C$6,Индексы!B89&lt;=Породы!$D$6,Индексы!C89&gt;=Породы!$E$6,Индексы!C89&lt;=Породы!$F$6,Индексы!D89&gt;=Породы!$G$6,Индексы!D89&lt;=Породы!$H$6),IF(Индексы!B89&gt;0,Породы!$B$6," ")," ")</f>
        <v xml:space="preserve"> </v>
      </c>
      <c r="E90" s="31" t="str">
        <f>IF(AND(Индексы!B89&gt;=Породы!$C$7,Индексы!B89&lt;=Породы!$D$7,Индексы!C89&gt;=Породы!$E$7,Индексы!C89&lt;=Породы!$F$7,Индексы!D89&gt;=Породы!$G$7,Индексы!D89&lt;=Породы!$H$7),IF(Индексы!B89&gt;0,Породы!$B$7," ")," ")</f>
        <v xml:space="preserve"> </v>
      </c>
      <c r="F90" s="78" t="str">
        <f>IF(A90&gt;0,Индексы!B89,"")</f>
        <v/>
      </c>
    </row>
    <row r="91" spans="1:6" x14ac:dyDescent="0.25">
      <c r="A91" s="33">
        <f>Индексы!A90</f>
        <v>0</v>
      </c>
      <c r="B91" s="31" t="str">
        <f>IF(AND(Индексы!B90&gt;=Породы!$C$4,Индексы!B90&lt;=Породы!$D$4,Индексы!C90&gt;=Породы!$E$4,Индексы!C90&lt;=Породы!$F$4,Индексы!D90&gt;=Породы!$G$4,Индексы!D90&lt;=Породы!$H$4),IF(Индексы!B90&gt;0,Породы!$B$4," ")," ")</f>
        <v xml:space="preserve"> </v>
      </c>
      <c r="C91" s="31" t="str">
        <f>IF(AND(Индексы!B90&gt;=Породы!$C$5,Индексы!B90&lt;=Породы!$D$5,Индексы!C90&gt;=Породы!$E$5,Индексы!C90&lt;=Породы!$F$5,Индексы!D90&gt;=Породы!$G$5,Индексы!D90&lt;=Породы!$H$5),IF(Индексы!B90&gt;0,Породы!$B$5," ")," ")</f>
        <v xml:space="preserve"> </v>
      </c>
      <c r="D91" s="31" t="str">
        <f>IF(AND(Индексы!B90&gt;=Породы!$C$6,Индексы!B90&lt;=Породы!$D$6,Индексы!C90&gt;=Породы!$E$6,Индексы!C90&lt;=Породы!$F$6,Индексы!D90&gt;=Породы!$G$6,Индексы!D90&lt;=Породы!$H$6),IF(Индексы!B90&gt;0,Породы!$B$6," ")," ")</f>
        <v xml:space="preserve"> </v>
      </c>
      <c r="E91" s="31" t="str">
        <f>IF(AND(Индексы!B90&gt;=Породы!$C$7,Индексы!B90&lt;=Породы!$D$7,Индексы!C90&gt;=Породы!$E$7,Индексы!C90&lt;=Породы!$F$7,Индексы!D90&gt;=Породы!$G$7,Индексы!D90&lt;=Породы!$H$7),IF(Индексы!B90&gt;0,Породы!$B$7," ")," ")</f>
        <v xml:space="preserve"> </v>
      </c>
      <c r="F91" s="78" t="str">
        <f>IF(A91&gt;0,Индексы!B90,"")</f>
        <v/>
      </c>
    </row>
    <row r="92" spans="1:6" x14ac:dyDescent="0.25">
      <c r="A92" s="33">
        <f>Индексы!A91</f>
        <v>0</v>
      </c>
      <c r="B92" s="31" t="str">
        <f>IF(AND(Индексы!B91&gt;=Породы!$C$4,Индексы!B91&lt;=Породы!$D$4,Индексы!C91&gt;=Породы!$E$4,Индексы!C91&lt;=Породы!$F$4,Индексы!D91&gt;=Породы!$G$4,Индексы!D91&lt;=Породы!$H$4),IF(Индексы!B91&gt;0,Породы!$B$4," ")," ")</f>
        <v xml:space="preserve"> </v>
      </c>
      <c r="C92" s="31" t="str">
        <f>IF(AND(Индексы!B91&gt;=Породы!$C$5,Индексы!B91&lt;=Породы!$D$5,Индексы!C91&gt;=Породы!$E$5,Индексы!C91&lt;=Породы!$F$5,Индексы!D91&gt;=Породы!$G$5,Индексы!D91&lt;=Породы!$H$5),IF(Индексы!B91&gt;0,Породы!$B$5," ")," ")</f>
        <v xml:space="preserve"> </v>
      </c>
      <c r="D92" s="31" t="str">
        <f>IF(AND(Индексы!B91&gt;=Породы!$C$6,Индексы!B91&lt;=Породы!$D$6,Индексы!C91&gt;=Породы!$E$6,Индексы!C91&lt;=Породы!$F$6,Индексы!D91&gt;=Породы!$G$6,Индексы!D91&lt;=Породы!$H$6),IF(Индексы!B91&gt;0,Породы!$B$6," ")," ")</f>
        <v xml:space="preserve"> </v>
      </c>
      <c r="E92" s="31" t="str">
        <f>IF(AND(Индексы!B91&gt;=Породы!$C$7,Индексы!B91&lt;=Породы!$D$7,Индексы!C91&gt;=Породы!$E$7,Индексы!C91&lt;=Породы!$F$7,Индексы!D91&gt;=Породы!$G$7,Индексы!D91&lt;=Породы!$H$7),IF(Индексы!B91&gt;0,Породы!$B$7," ")," ")</f>
        <v xml:space="preserve"> </v>
      </c>
      <c r="F92" s="78" t="str">
        <f>IF(A92&gt;0,Индексы!B91,"")</f>
        <v/>
      </c>
    </row>
    <row r="93" spans="1:6" x14ac:dyDescent="0.25">
      <c r="A93" s="33">
        <f>Индексы!A92</f>
        <v>0</v>
      </c>
      <c r="B93" s="31" t="str">
        <f>IF(AND(Индексы!B92&gt;=Породы!$C$4,Индексы!B92&lt;=Породы!$D$4,Индексы!C92&gt;=Породы!$E$4,Индексы!C92&lt;=Породы!$F$4,Индексы!D92&gt;=Породы!$G$4,Индексы!D92&lt;=Породы!$H$4),IF(Индексы!B92&gt;0,Породы!$B$4," ")," ")</f>
        <v xml:space="preserve"> </v>
      </c>
      <c r="C93" s="31" t="str">
        <f>IF(AND(Индексы!B92&gt;=Породы!$C$5,Индексы!B92&lt;=Породы!$D$5,Индексы!C92&gt;=Породы!$E$5,Индексы!C92&lt;=Породы!$F$5,Индексы!D92&gt;=Породы!$G$5,Индексы!D92&lt;=Породы!$H$5),IF(Индексы!B92&gt;0,Породы!$B$5," ")," ")</f>
        <v xml:space="preserve"> </v>
      </c>
      <c r="D93" s="31" t="str">
        <f>IF(AND(Индексы!B92&gt;=Породы!$C$6,Индексы!B92&lt;=Породы!$D$6,Индексы!C92&gt;=Породы!$E$6,Индексы!C92&lt;=Породы!$F$6,Индексы!D92&gt;=Породы!$G$6,Индексы!D92&lt;=Породы!$H$6),IF(Индексы!B92&gt;0,Породы!$B$6," ")," ")</f>
        <v xml:space="preserve"> </v>
      </c>
      <c r="E93" s="31" t="str">
        <f>IF(AND(Индексы!B92&gt;=Породы!$C$7,Индексы!B92&lt;=Породы!$D$7,Индексы!C92&gt;=Породы!$E$7,Индексы!C92&lt;=Породы!$F$7,Индексы!D92&gt;=Породы!$G$7,Индексы!D92&lt;=Породы!$H$7),IF(Индексы!B92&gt;0,Породы!$B$7," ")," ")</f>
        <v xml:space="preserve"> </v>
      </c>
      <c r="F93" s="78" t="str">
        <f>IF(A93&gt;0,Индексы!B92,"")</f>
        <v/>
      </c>
    </row>
    <row r="94" spans="1:6" x14ac:dyDescent="0.25">
      <c r="A94" s="33">
        <f>Индексы!A93</f>
        <v>0</v>
      </c>
      <c r="B94" s="31" t="str">
        <f>IF(AND(Индексы!B93&gt;=Породы!$C$4,Индексы!B93&lt;=Породы!$D$4,Индексы!C93&gt;=Породы!$E$4,Индексы!C93&lt;=Породы!$F$4,Индексы!D93&gt;=Породы!$G$4,Индексы!D93&lt;=Породы!$H$4),IF(Индексы!B93&gt;0,Породы!$B$4," ")," ")</f>
        <v xml:space="preserve"> </v>
      </c>
      <c r="C94" s="31" t="str">
        <f>IF(AND(Индексы!B93&gt;=Породы!$C$5,Индексы!B93&lt;=Породы!$D$5,Индексы!C93&gt;=Породы!$E$5,Индексы!C93&lt;=Породы!$F$5,Индексы!D93&gt;=Породы!$G$5,Индексы!D93&lt;=Породы!$H$5),IF(Индексы!B93&gt;0,Породы!$B$5," ")," ")</f>
        <v xml:space="preserve"> </v>
      </c>
      <c r="D94" s="31" t="str">
        <f>IF(AND(Индексы!B93&gt;=Породы!$C$6,Индексы!B93&lt;=Породы!$D$6,Индексы!C93&gt;=Породы!$E$6,Индексы!C93&lt;=Породы!$F$6,Индексы!D93&gt;=Породы!$G$6,Индексы!D93&lt;=Породы!$H$6),IF(Индексы!B93&gt;0,Породы!$B$6," ")," ")</f>
        <v xml:space="preserve"> </v>
      </c>
      <c r="E94" s="31" t="str">
        <f>IF(AND(Индексы!B93&gt;=Породы!$C$7,Индексы!B93&lt;=Породы!$D$7,Индексы!C93&gt;=Породы!$E$7,Индексы!C93&lt;=Породы!$F$7,Индексы!D93&gt;=Породы!$G$7,Индексы!D93&lt;=Породы!$H$7),IF(Индексы!B93&gt;0,Породы!$B$7," ")," ")</f>
        <v xml:space="preserve"> </v>
      </c>
      <c r="F94" s="78" t="str">
        <f>IF(A94&gt;0,Индексы!B93,"")</f>
        <v/>
      </c>
    </row>
    <row r="95" spans="1:6" x14ac:dyDescent="0.25">
      <c r="A95" s="33">
        <f>Индексы!A94</f>
        <v>0</v>
      </c>
      <c r="B95" s="31" t="str">
        <f>IF(AND(Индексы!B94&gt;=Породы!$C$4,Индексы!B94&lt;=Породы!$D$4,Индексы!C94&gt;=Породы!$E$4,Индексы!C94&lt;=Породы!$F$4,Индексы!D94&gt;=Породы!$G$4,Индексы!D94&lt;=Породы!$H$4),IF(Индексы!B94&gt;0,Породы!$B$4," ")," ")</f>
        <v xml:space="preserve"> </v>
      </c>
      <c r="C95" s="31" t="str">
        <f>IF(AND(Индексы!B94&gt;=Породы!$C$5,Индексы!B94&lt;=Породы!$D$5,Индексы!C94&gt;=Породы!$E$5,Индексы!C94&lt;=Породы!$F$5,Индексы!D94&gt;=Породы!$G$5,Индексы!D94&lt;=Породы!$H$5),IF(Индексы!B94&gt;0,Породы!$B$5," ")," ")</f>
        <v xml:space="preserve"> </v>
      </c>
      <c r="D95" s="31" t="str">
        <f>IF(AND(Индексы!B94&gt;=Породы!$C$6,Индексы!B94&lt;=Породы!$D$6,Индексы!C94&gt;=Породы!$E$6,Индексы!C94&lt;=Породы!$F$6,Индексы!D94&gt;=Породы!$G$6,Индексы!D94&lt;=Породы!$H$6),IF(Индексы!B94&gt;0,Породы!$B$6," ")," ")</f>
        <v xml:space="preserve"> </v>
      </c>
      <c r="E95" s="31" t="str">
        <f>IF(AND(Индексы!B94&gt;=Породы!$C$7,Индексы!B94&lt;=Породы!$D$7,Индексы!C94&gt;=Породы!$E$7,Индексы!C94&lt;=Породы!$F$7,Индексы!D94&gt;=Породы!$G$7,Индексы!D94&lt;=Породы!$H$7),IF(Индексы!B94&gt;0,Породы!$B$7," ")," ")</f>
        <v xml:space="preserve"> </v>
      </c>
      <c r="F95" s="78" t="str">
        <f>IF(A95&gt;0,Индексы!B94,"")</f>
        <v/>
      </c>
    </row>
    <row r="96" spans="1:6" x14ac:dyDescent="0.25">
      <c r="A96" s="33">
        <f>Индексы!A95</f>
        <v>0</v>
      </c>
      <c r="B96" s="31" t="str">
        <f>IF(AND(Индексы!B95&gt;=Породы!$C$4,Индексы!B95&lt;=Породы!$D$4,Индексы!C95&gt;=Породы!$E$4,Индексы!C95&lt;=Породы!$F$4,Индексы!D95&gt;=Породы!$G$4,Индексы!D95&lt;=Породы!$H$4),IF(Индексы!B95&gt;0,Породы!$B$4," ")," ")</f>
        <v xml:space="preserve"> </v>
      </c>
      <c r="C96" s="31" t="str">
        <f>IF(AND(Индексы!B95&gt;=Породы!$C$5,Индексы!B95&lt;=Породы!$D$5,Индексы!C95&gt;=Породы!$E$5,Индексы!C95&lt;=Породы!$F$5,Индексы!D95&gt;=Породы!$G$5,Индексы!D95&lt;=Породы!$H$5),IF(Индексы!B95&gt;0,Породы!$B$5," ")," ")</f>
        <v xml:space="preserve"> </v>
      </c>
      <c r="D96" s="31" t="str">
        <f>IF(AND(Индексы!B95&gt;=Породы!$C$6,Индексы!B95&lt;=Породы!$D$6,Индексы!C95&gt;=Породы!$E$6,Индексы!C95&lt;=Породы!$F$6,Индексы!D95&gt;=Породы!$G$6,Индексы!D95&lt;=Породы!$H$6),IF(Индексы!B95&gt;0,Породы!$B$6," ")," ")</f>
        <v xml:space="preserve"> </v>
      </c>
      <c r="E96" s="31" t="str">
        <f>IF(AND(Индексы!B95&gt;=Породы!$C$7,Индексы!B95&lt;=Породы!$D$7,Индексы!C95&gt;=Породы!$E$7,Индексы!C95&lt;=Породы!$F$7,Индексы!D95&gt;=Породы!$G$7,Индексы!D95&lt;=Породы!$H$7),IF(Индексы!B95&gt;0,Породы!$B$7," ")," ")</f>
        <v xml:space="preserve"> </v>
      </c>
      <c r="F96" s="78" t="str">
        <f>IF(A96&gt;0,Индексы!B95,"")</f>
        <v/>
      </c>
    </row>
    <row r="97" spans="1:6" x14ac:dyDescent="0.25">
      <c r="A97" s="33">
        <f>Индексы!A96</f>
        <v>0</v>
      </c>
      <c r="B97" s="31" t="str">
        <f>IF(AND(Индексы!B96&gt;=Породы!$C$4,Индексы!B96&lt;=Породы!$D$4,Индексы!C96&gt;=Породы!$E$4,Индексы!C96&lt;=Породы!$F$4,Индексы!D96&gt;=Породы!$G$4,Индексы!D96&lt;=Породы!$H$4),IF(Индексы!B96&gt;0,Породы!$B$4," ")," ")</f>
        <v xml:space="preserve"> </v>
      </c>
      <c r="C97" s="31" t="str">
        <f>IF(AND(Индексы!B96&gt;=Породы!$C$5,Индексы!B96&lt;=Породы!$D$5,Индексы!C96&gt;=Породы!$E$5,Индексы!C96&lt;=Породы!$F$5,Индексы!D96&gt;=Породы!$G$5,Индексы!D96&lt;=Породы!$H$5),IF(Индексы!B96&gt;0,Породы!$B$5," ")," ")</f>
        <v xml:space="preserve"> </v>
      </c>
      <c r="D97" s="31" t="str">
        <f>IF(AND(Индексы!B96&gt;=Породы!$C$6,Индексы!B96&lt;=Породы!$D$6,Индексы!C96&gt;=Породы!$E$6,Индексы!C96&lt;=Породы!$F$6,Индексы!D96&gt;=Породы!$G$6,Индексы!D96&lt;=Породы!$H$6),IF(Индексы!B96&gt;0,Породы!$B$6," ")," ")</f>
        <v xml:space="preserve"> </v>
      </c>
      <c r="E97" s="31" t="str">
        <f>IF(AND(Индексы!B96&gt;=Породы!$C$7,Индексы!B96&lt;=Породы!$D$7,Индексы!C96&gt;=Породы!$E$7,Индексы!C96&lt;=Породы!$F$7,Индексы!D96&gt;=Породы!$G$7,Индексы!D96&lt;=Породы!$H$7),IF(Индексы!B96&gt;0,Породы!$B$7," ")," ")</f>
        <v xml:space="preserve"> </v>
      </c>
      <c r="F97" s="78" t="str">
        <f>IF(A97&gt;0,Индексы!B96,"")</f>
        <v/>
      </c>
    </row>
    <row r="98" spans="1:6" x14ac:dyDescent="0.25">
      <c r="A98" s="33">
        <f>Индексы!A97</f>
        <v>0</v>
      </c>
      <c r="B98" s="31" t="str">
        <f>IF(AND(Индексы!B97&gt;=Породы!$C$4,Индексы!B97&lt;=Породы!$D$4,Индексы!C97&gt;=Породы!$E$4,Индексы!C97&lt;=Породы!$F$4,Индексы!D97&gt;=Породы!$G$4,Индексы!D97&lt;=Породы!$H$4),IF(Индексы!B97&gt;0,Породы!$B$4," ")," ")</f>
        <v xml:space="preserve"> </v>
      </c>
      <c r="C98" s="31" t="str">
        <f>IF(AND(Индексы!B97&gt;=Породы!$C$5,Индексы!B97&lt;=Породы!$D$5,Индексы!C97&gt;=Породы!$E$5,Индексы!C97&lt;=Породы!$F$5,Индексы!D97&gt;=Породы!$G$5,Индексы!D97&lt;=Породы!$H$5),IF(Индексы!B97&gt;0,Породы!$B$5," ")," ")</f>
        <v xml:space="preserve"> </v>
      </c>
      <c r="D98" s="31" t="str">
        <f>IF(AND(Индексы!B97&gt;=Породы!$C$6,Индексы!B97&lt;=Породы!$D$6,Индексы!C97&gt;=Породы!$E$6,Индексы!C97&lt;=Породы!$F$6,Индексы!D97&gt;=Породы!$G$6,Индексы!D97&lt;=Породы!$H$6),IF(Индексы!B97&gt;0,Породы!$B$6," ")," ")</f>
        <v xml:space="preserve"> </v>
      </c>
      <c r="E98" s="31" t="str">
        <f>IF(AND(Индексы!B97&gt;=Породы!$C$7,Индексы!B97&lt;=Породы!$D$7,Индексы!C97&gt;=Породы!$E$7,Индексы!C97&lt;=Породы!$F$7,Индексы!D97&gt;=Породы!$G$7,Индексы!D97&lt;=Породы!$H$7),IF(Индексы!B97&gt;0,Породы!$B$7," ")," ")</f>
        <v xml:space="preserve"> </v>
      </c>
      <c r="F98" s="78" t="str">
        <f>IF(A98&gt;0,Индексы!B97,"")</f>
        <v/>
      </c>
    </row>
    <row r="99" spans="1:6" x14ac:dyDescent="0.25">
      <c r="A99" s="33">
        <f>Индексы!A98</f>
        <v>0</v>
      </c>
      <c r="B99" s="31" t="str">
        <f>IF(AND(Индексы!B98&gt;=Породы!$C$4,Индексы!B98&lt;=Породы!$D$4,Индексы!C98&gt;=Породы!$E$4,Индексы!C98&lt;=Породы!$F$4,Индексы!D98&gt;=Породы!$G$4,Индексы!D98&lt;=Породы!$H$4),IF(Индексы!B98&gt;0,Породы!$B$4," ")," ")</f>
        <v xml:space="preserve"> </v>
      </c>
      <c r="C99" s="31" t="str">
        <f>IF(AND(Индексы!B98&gt;=Породы!$C$5,Индексы!B98&lt;=Породы!$D$5,Индексы!C98&gt;=Породы!$E$5,Индексы!C98&lt;=Породы!$F$5,Индексы!D98&gt;=Породы!$G$5,Индексы!D98&lt;=Породы!$H$5),IF(Индексы!B98&gt;0,Породы!$B$5," ")," ")</f>
        <v xml:space="preserve"> </v>
      </c>
      <c r="D99" s="31" t="str">
        <f>IF(AND(Индексы!B98&gt;=Породы!$C$6,Индексы!B98&lt;=Породы!$D$6,Индексы!C98&gt;=Породы!$E$6,Индексы!C98&lt;=Породы!$F$6,Индексы!D98&gt;=Породы!$G$6,Индексы!D98&lt;=Породы!$H$6),IF(Индексы!B98&gt;0,Породы!$B$6," ")," ")</f>
        <v xml:space="preserve"> </v>
      </c>
      <c r="E99" s="31" t="str">
        <f>IF(AND(Индексы!B98&gt;=Породы!$C$7,Индексы!B98&lt;=Породы!$D$7,Индексы!C98&gt;=Породы!$E$7,Индексы!C98&lt;=Породы!$F$7,Индексы!D98&gt;=Породы!$G$7,Индексы!D98&lt;=Породы!$H$7),IF(Индексы!B98&gt;0,Породы!$B$7," ")," ")</f>
        <v xml:space="preserve"> </v>
      </c>
      <c r="F99" s="78" t="str">
        <f>IF(A99&gt;0,Индексы!B98,"")</f>
        <v/>
      </c>
    </row>
    <row r="100" spans="1:6" x14ac:dyDescent="0.25">
      <c r="A100" s="33">
        <f>Индексы!A99</f>
        <v>0</v>
      </c>
      <c r="B100" s="31" t="str">
        <f>IF(AND(Индексы!B99&gt;=Породы!$C$4,Индексы!B99&lt;=Породы!$D$4,Индексы!C99&gt;=Породы!$E$4,Индексы!C99&lt;=Породы!$F$4,Индексы!D99&gt;=Породы!$G$4,Индексы!D99&lt;=Породы!$H$4),IF(Индексы!B99&gt;0,Породы!$B$4," ")," ")</f>
        <v xml:space="preserve"> </v>
      </c>
      <c r="C100" s="31" t="str">
        <f>IF(AND(Индексы!B99&gt;=Породы!$C$5,Индексы!B99&lt;=Породы!$D$5,Индексы!C99&gt;=Породы!$E$5,Индексы!C99&lt;=Породы!$F$5,Индексы!D99&gt;=Породы!$G$5,Индексы!D99&lt;=Породы!$H$5),IF(Индексы!B99&gt;0,Породы!$B$5," ")," ")</f>
        <v xml:space="preserve"> </v>
      </c>
      <c r="D100" s="31" t="str">
        <f>IF(AND(Индексы!B99&gt;=Породы!$C$6,Индексы!B99&lt;=Породы!$D$6,Индексы!C99&gt;=Породы!$E$6,Индексы!C99&lt;=Породы!$F$6,Индексы!D99&gt;=Породы!$G$6,Индексы!D99&lt;=Породы!$H$6),IF(Индексы!B99&gt;0,Породы!$B$6," ")," ")</f>
        <v xml:space="preserve"> </v>
      </c>
      <c r="E100" s="31" t="str">
        <f>IF(AND(Индексы!B99&gt;=Породы!$C$7,Индексы!B99&lt;=Породы!$D$7,Индексы!C99&gt;=Породы!$E$7,Индексы!C99&lt;=Породы!$F$7,Индексы!D99&gt;=Породы!$G$7,Индексы!D99&lt;=Породы!$H$7),IF(Индексы!B99&gt;0,Породы!$B$7," ")," ")</f>
        <v xml:space="preserve"> </v>
      </c>
      <c r="F100" s="78" t="str">
        <f>IF(A100&gt;0,Индексы!B99,"")</f>
        <v/>
      </c>
    </row>
    <row r="101" spans="1:6" x14ac:dyDescent="0.25">
      <c r="A101" s="33">
        <f>Индексы!A100</f>
        <v>0</v>
      </c>
      <c r="B101" s="31" t="str">
        <f>IF(AND(Индексы!B100&gt;=Породы!$C$4,Индексы!B100&lt;=Породы!$D$4,Индексы!C100&gt;=Породы!$E$4,Индексы!C100&lt;=Породы!$F$4,Индексы!D100&gt;=Породы!$G$4,Индексы!D100&lt;=Породы!$H$4),IF(Индексы!B100&gt;0,Породы!$B$4," ")," ")</f>
        <v xml:space="preserve"> </v>
      </c>
      <c r="C101" s="31" t="str">
        <f>IF(AND(Индексы!B100&gt;=Породы!$C$5,Индексы!B100&lt;=Породы!$D$5,Индексы!C100&gt;=Породы!$E$5,Индексы!C100&lt;=Породы!$F$5,Индексы!D100&gt;=Породы!$G$5,Индексы!D100&lt;=Породы!$H$5),IF(Индексы!B100&gt;0,Породы!$B$5," ")," ")</f>
        <v xml:space="preserve"> </v>
      </c>
      <c r="D101" s="31" t="str">
        <f>IF(AND(Индексы!B100&gt;=Породы!$C$6,Индексы!B100&lt;=Породы!$D$6,Индексы!C100&gt;=Породы!$E$6,Индексы!C100&lt;=Породы!$F$6,Индексы!D100&gt;=Породы!$G$6,Индексы!D100&lt;=Породы!$H$6),IF(Индексы!B100&gt;0,Породы!$B$6," ")," ")</f>
        <v xml:space="preserve"> </v>
      </c>
      <c r="E101" s="31" t="str">
        <f>IF(AND(Индексы!B100&gt;=Породы!$C$7,Индексы!B100&lt;=Породы!$D$7,Индексы!C100&gt;=Породы!$E$7,Индексы!C100&lt;=Породы!$F$7,Индексы!D100&gt;=Породы!$G$7,Индексы!D100&lt;=Породы!$H$7),IF(Индексы!B100&gt;0,Породы!$B$7," ")," ")</f>
        <v xml:space="preserve"> </v>
      </c>
      <c r="F101" s="78" t="str">
        <f>IF(A101&gt;0,Индексы!B100,"")</f>
        <v/>
      </c>
    </row>
    <row r="102" spans="1:6" x14ac:dyDescent="0.25">
      <c r="A102" s="33">
        <f>Индексы!A101</f>
        <v>0</v>
      </c>
      <c r="B102" s="31" t="str">
        <f>IF(AND(Индексы!B101&gt;=Породы!$C$4,Индексы!B101&lt;=Породы!$D$4,Индексы!C101&gt;=Породы!$E$4,Индексы!C101&lt;=Породы!$F$4,Индексы!D101&gt;=Породы!$G$4,Индексы!D101&lt;=Породы!$H$4),IF(Индексы!B101&gt;0,Породы!$B$4," ")," ")</f>
        <v xml:space="preserve"> </v>
      </c>
      <c r="C102" s="31" t="str">
        <f>IF(AND(Индексы!B101&gt;=Породы!$C$5,Индексы!B101&lt;=Породы!$D$5,Индексы!C101&gt;=Породы!$E$5,Индексы!C101&lt;=Породы!$F$5,Индексы!D101&gt;=Породы!$G$5,Индексы!D101&lt;=Породы!$H$5),IF(Индексы!B101&gt;0,Породы!$B$5," ")," ")</f>
        <v xml:space="preserve"> </v>
      </c>
      <c r="D102" s="31" t="str">
        <f>IF(AND(Индексы!B101&gt;=Породы!$C$6,Индексы!B101&lt;=Породы!$D$6,Индексы!C101&gt;=Породы!$E$6,Индексы!C101&lt;=Породы!$F$6,Индексы!D101&gt;=Породы!$G$6,Индексы!D101&lt;=Породы!$H$6),IF(Индексы!B101&gt;0,Породы!$B$6," ")," ")</f>
        <v xml:space="preserve"> </v>
      </c>
      <c r="E102" s="31" t="str">
        <f>IF(AND(Индексы!B101&gt;=Породы!$C$7,Индексы!B101&lt;=Породы!$D$7,Индексы!C101&gt;=Породы!$E$7,Индексы!C101&lt;=Породы!$F$7,Индексы!D101&gt;=Породы!$G$7,Индексы!D101&lt;=Породы!$H$7),IF(Индексы!B101&gt;0,Породы!$B$7," ")," ")</f>
        <v xml:space="preserve"> </v>
      </c>
      <c r="F102" s="78" t="str">
        <f>IF(A102&gt;0,Индексы!B101,"")</f>
        <v/>
      </c>
    </row>
    <row r="103" spans="1:6" x14ac:dyDescent="0.25">
      <c r="A103" s="34" t="s">
        <v>17</v>
      </c>
      <c r="B103" s="31" t="str">
        <f>IF(AND(Индексы!B102&gt;=Породы!$C$4,Индексы!B102&lt;=Породы!$D$4,Индексы!C102&gt;=Породы!$E$4,Индексы!C102&lt;=Породы!$F$4,Индексы!D102&gt;=Породы!$G$4,Индексы!D102&lt;=Породы!$H$4),IF(Индексы!B102&gt;0,Породы!$B$4," ")," ")</f>
        <v>Mellifera</v>
      </c>
      <c r="C103" s="32" t="str">
        <f>IF(AND(Индексы!B102&gt;=Породы!$C$5,Индексы!B102&lt;=Породы!$D$5,Индексы!C102&gt;=Породы!$E$5,Индексы!C102&lt;=Породы!$F$5,Индексы!D102&gt;=Породы!$G$5,Индексы!D102&lt;=Породы!$H$5),IF(Индексы!B102&gt;0,Породы!$B$5," ")," ")</f>
        <v xml:space="preserve"> </v>
      </c>
      <c r="D103" s="32" t="str">
        <f>IF(AND(Индексы!B102&gt;=Породы!$C$6,Индексы!B102&lt;=Породы!$D$6,Индексы!C102&gt;=Породы!$E$6,Индексы!C102&lt;=Породы!$F$6,Индексы!D102&gt;=Породы!$G$6,Индексы!D102&lt;=Породы!$H$6),IF(Индексы!B102&gt;0,Породы!$B$6," ")," ")</f>
        <v xml:space="preserve"> </v>
      </c>
      <c r="E103" s="32" t="str">
        <f>IF(AND(Индексы!B102&gt;=Породы!$C$7,Индексы!B102&lt;=Породы!$D$7,Индексы!C102&gt;=Породы!$E$7,Индексы!C102&lt;=Породы!$F$7,Индексы!D102&gt;=Породы!$G$7,Индексы!D102&lt;=Породы!$H$7),IF(Индексы!B102&gt;0,Породы!$B$7," ")," ")</f>
        <v xml:space="preserve"> </v>
      </c>
      <c r="F103" s="78">
        <f>Индексы!B102</f>
        <v>1.5851073916946967</v>
      </c>
    </row>
  </sheetData>
  <sheetProtection password="C1AF" sheet="1" objects="1" scenarios="1" selectLockedCells="1" selectUnlockedCells="1"/>
  <mergeCells count="10">
    <mergeCell ref="A1:A2"/>
    <mergeCell ref="B1:E1"/>
    <mergeCell ref="J19:K19"/>
    <mergeCell ref="F1:F2"/>
    <mergeCell ref="H28:K29"/>
    <mergeCell ref="H19:H22"/>
    <mergeCell ref="I19:I22"/>
    <mergeCell ref="J20:J22"/>
    <mergeCell ref="K20:K22"/>
    <mergeCell ref="G1:K17"/>
  </mergeCells>
  <phoneticPr fontId="0" type="noConversion"/>
  <conditionalFormatting sqref="I23:J23">
    <cfRule type="cellIs" dxfId="16" priority="1" stopIfTrue="1" operator="equal">
      <formula>0</formula>
    </cfRule>
  </conditionalFormatting>
  <conditionalFormatting sqref="I24:J24">
    <cfRule type="cellIs" dxfId="15" priority="2" stopIfTrue="1" operator="equal">
      <formula>0</formula>
    </cfRule>
  </conditionalFormatting>
  <conditionalFormatting sqref="I25:J25">
    <cfRule type="cellIs" dxfId="14" priority="3" stopIfTrue="1" operator="equal">
      <formula>0</formula>
    </cfRule>
  </conditionalFormatting>
  <conditionalFormatting sqref="I26:J26">
    <cfRule type="cellIs" dxfId="13" priority="4" stopIfTrue="1" operator="equal">
      <formula>0</formula>
    </cfRule>
  </conditionalFormatting>
  <conditionalFormatting sqref="A3:A102">
    <cfRule type="cellIs" dxfId="12" priority="5" stopIfTrue="1" operator="equal">
      <formula>0</formula>
    </cfRule>
  </conditionalFormatting>
  <conditionalFormatting sqref="E103">
    <cfRule type="cellIs" dxfId="11" priority="7" stopIfTrue="1" operator="equal">
      <formula>$E$2</formula>
    </cfRule>
  </conditionalFormatting>
  <conditionalFormatting sqref="D103">
    <cfRule type="cellIs" dxfId="10" priority="8" stopIfTrue="1" operator="equal">
      <formula>$D$2</formula>
    </cfRule>
  </conditionalFormatting>
  <conditionalFormatting sqref="C103">
    <cfRule type="cellIs" dxfId="9" priority="9" stopIfTrue="1" operator="equal">
      <formula>$C$2</formula>
    </cfRule>
  </conditionalFormatting>
  <conditionalFormatting sqref="B103">
    <cfRule type="cellIs" dxfId="8" priority="81" stopIfTrue="1" operator="equal">
      <formula>$H$23</formula>
    </cfRule>
  </conditionalFormatting>
  <conditionalFormatting sqref="B3:B102">
    <cfRule type="expression" dxfId="7" priority="82" stopIfTrue="1">
      <formula>AND(A3&gt;0,B3=$G$18,C3=$G$18,D3=$G$18,E3=$G$18)</formula>
    </cfRule>
    <cfRule type="cellIs" dxfId="6" priority="83" stopIfTrue="1" operator="equal">
      <formula>$H$23</formula>
    </cfRule>
  </conditionalFormatting>
  <conditionalFormatting sqref="C3:C102">
    <cfRule type="expression" dxfId="5" priority="84" stopIfTrue="1">
      <formula>AND(A3&gt;0,B3=$G$18,C3=$G$18,D3=$G$18,E3=$G$18)</formula>
    </cfRule>
    <cfRule type="cellIs" dxfId="4" priority="85" stopIfTrue="1" operator="equal">
      <formula>$H$24</formula>
    </cfRule>
  </conditionalFormatting>
  <conditionalFormatting sqref="D3:D102">
    <cfRule type="expression" dxfId="3" priority="86" stopIfTrue="1">
      <formula>AND(A3&gt;0,B3=$G$18,C3=$G$18,D3=$G$18,E3=$G$18)</formula>
    </cfRule>
    <cfRule type="cellIs" dxfId="2" priority="87" stopIfTrue="1" operator="equal">
      <formula>$H$25</formula>
    </cfRule>
  </conditionalFormatting>
  <conditionalFormatting sqref="E3:E102">
    <cfRule type="expression" dxfId="1" priority="88" stopIfTrue="1">
      <formula>AND(A3&gt;0,B3=$G$18,C3=$G$18,D3=$G$18,E3=$G$18)</formula>
    </cfRule>
    <cfRule type="cellIs" dxfId="0" priority="89" stopIfTrue="1" operator="equal">
      <formula>$H$26</formula>
    </cfRule>
  </conditionalFormatting>
  <printOptions horizontalCentered="1"/>
  <pageMargins left="0.78740157480314965" right="0.78740157480314965" top="0.39370078740157483" bottom="0.39370078740157483" header="0" footer="0"/>
  <pageSetup paperSize="9" scale="60"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indexed="9"/>
  </sheetPr>
  <dimension ref="A1:N39"/>
  <sheetViews>
    <sheetView showGridLines="0" showRowColHeaders="0" zoomScaleSheetLayoutView="90" workbookViewId="0"/>
  </sheetViews>
  <sheetFormatPr defaultRowHeight="13.2" x14ac:dyDescent="0.25"/>
  <cols>
    <col min="1" max="10" width="8.88671875" style="90"/>
  </cols>
  <sheetData>
    <row r="1" spans="1:14" x14ac:dyDescent="0.25">
      <c r="A1" s="119"/>
      <c r="B1" s="119">
        <v>0.71</v>
      </c>
      <c r="C1" s="119">
        <f t="array" ref="C1:C31">FREQUENCY(Индексы!B2:B101,Графики!B1:B30)</f>
        <v>0</v>
      </c>
      <c r="D1" s="120">
        <v>0.6</v>
      </c>
      <c r="E1" s="119">
        <f t="array" ref="E1:E33">FREQUENCY(Индексы!D2:D101,Графики!D1:D32)</f>
        <v>0</v>
      </c>
      <c r="F1" s="119"/>
      <c r="G1" s="121">
        <f>ROUND(DEGREES(ASIN(J1/1.515*0.05)),2)</f>
        <v>-16.29</v>
      </c>
      <c r="H1" s="158">
        <f t="array" ref="H1:H31">FREQUENCY(Индексы!C2:C101,Графики!G1:G31)</f>
        <v>0</v>
      </c>
      <c r="I1" s="122"/>
      <c r="J1" s="158">
        <v>-8.5</v>
      </c>
      <c r="K1" s="74"/>
      <c r="L1" s="74"/>
      <c r="M1" s="74"/>
      <c r="N1" s="74"/>
    </row>
    <row r="2" spans="1:14" x14ac:dyDescent="0.25">
      <c r="A2" s="119">
        <v>1</v>
      </c>
      <c r="B2" s="119">
        <v>0.76</v>
      </c>
      <c r="C2" s="119">
        <v>0</v>
      </c>
      <c r="D2" s="120">
        <v>0.61599999999999999</v>
      </c>
      <c r="E2" s="119">
        <v>0</v>
      </c>
      <c r="F2" s="122">
        <v>6</v>
      </c>
      <c r="G2" s="121">
        <f t="shared" ref="G2:G31" si="0">ROUND(DEGREES(ASIN(J2/1.515*0.05)),2)</f>
        <v>-15.31</v>
      </c>
      <c r="H2" s="158">
        <v>0</v>
      </c>
      <c r="I2" s="122">
        <v>6</v>
      </c>
      <c r="J2" s="158">
        <f>J1+0.5</f>
        <v>-8</v>
      </c>
      <c r="K2" s="74"/>
      <c r="L2" s="74"/>
      <c r="M2" s="74"/>
      <c r="N2" s="74"/>
    </row>
    <row r="3" spans="1:14" x14ac:dyDescent="0.25">
      <c r="A3" s="119">
        <f>A2+1</f>
        <v>2</v>
      </c>
      <c r="B3" s="119">
        <v>0.81</v>
      </c>
      <c r="C3" s="119">
        <v>0</v>
      </c>
      <c r="D3" s="120">
        <v>0.63</v>
      </c>
      <c r="E3" s="119">
        <v>0</v>
      </c>
      <c r="F3" s="122" t="s">
        <v>52</v>
      </c>
      <c r="G3" s="121">
        <f t="shared" si="0"/>
        <v>-14.33</v>
      </c>
      <c r="H3" s="158">
        <v>0</v>
      </c>
      <c r="I3" s="122">
        <f>I2+1</f>
        <v>7</v>
      </c>
      <c r="J3" s="158">
        <f>J2+0.5</f>
        <v>-7.5</v>
      </c>
      <c r="K3" s="74"/>
      <c r="L3" s="74"/>
      <c r="M3" s="74"/>
      <c r="N3" s="74"/>
    </row>
    <row r="4" spans="1:14" x14ac:dyDescent="0.25">
      <c r="A4" s="119">
        <f t="shared" ref="A4:A31" si="1">A3+1</f>
        <v>3</v>
      </c>
      <c r="B4" s="119">
        <v>0.87</v>
      </c>
      <c r="C4" s="119">
        <v>0</v>
      </c>
      <c r="D4" s="120">
        <v>0.64800000000000002</v>
      </c>
      <c r="E4" s="119">
        <v>0</v>
      </c>
      <c r="F4" s="122">
        <f>F3+1</f>
        <v>8</v>
      </c>
      <c r="G4" s="121">
        <f t="shared" si="0"/>
        <v>-13.36</v>
      </c>
      <c r="H4" s="158">
        <v>0</v>
      </c>
      <c r="I4" s="122">
        <f t="shared" ref="I4:I31" si="2">I3+1</f>
        <v>8</v>
      </c>
      <c r="J4" s="158">
        <f t="shared" ref="J4:J31" si="3">J3+0.5</f>
        <v>-7</v>
      </c>
      <c r="K4" s="74"/>
      <c r="L4" s="74"/>
      <c r="M4" s="74"/>
      <c r="N4" s="74"/>
    </row>
    <row r="5" spans="1:14" x14ac:dyDescent="0.25">
      <c r="A5" s="119">
        <f t="shared" si="1"/>
        <v>4</v>
      </c>
      <c r="B5" s="119">
        <v>0.93</v>
      </c>
      <c r="C5" s="119">
        <v>0</v>
      </c>
      <c r="D5" s="120">
        <v>0.66600000000000004</v>
      </c>
      <c r="E5" s="119">
        <v>0</v>
      </c>
      <c r="F5" s="122">
        <f t="shared" ref="F5:F33" si="4">F4+1</f>
        <v>9</v>
      </c>
      <c r="G5" s="121">
        <f t="shared" si="0"/>
        <v>-12.39</v>
      </c>
      <c r="H5" s="158">
        <v>0</v>
      </c>
      <c r="I5" s="122">
        <f t="shared" si="2"/>
        <v>9</v>
      </c>
      <c r="J5" s="158">
        <f t="shared" si="3"/>
        <v>-6.5</v>
      </c>
      <c r="K5" s="74"/>
      <c r="L5" s="74"/>
      <c r="M5" s="74"/>
      <c r="N5" s="74"/>
    </row>
    <row r="6" spans="1:14" x14ac:dyDescent="0.25">
      <c r="A6" s="119">
        <f t="shared" si="1"/>
        <v>5</v>
      </c>
      <c r="B6" s="119">
        <v>1</v>
      </c>
      <c r="C6" s="119">
        <v>0</v>
      </c>
      <c r="D6" s="120">
        <v>0.68500000000000005</v>
      </c>
      <c r="E6" s="119">
        <v>0</v>
      </c>
      <c r="F6" s="122">
        <f t="shared" si="4"/>
        <v>10</v>
      </c>
      <c r="G6" s="121">
        <f t="shared" si="0"/>
        <v>-11.42</v>
      </c>
      <c r="H6" s="158">
        <v>0</v>
      </c>
      <c r="I6" s="122">
        <f t="shared" si="2"/>
        <v>10</v>
      </c>
      <c r="J6" s="158">
        <f t="shared" si="3"/>
        <v>-6</v>
      </c>
      <c r="K6" s="74"/>
      <c r="L6" s="74"/>
      <c r="M6" s="74"/>
      <c r="N6" s="74"/>
    </row>
    <row r="7" spans="1:14" x14ac:dyDescent="0.25">
      <c r="A7" s="119">
        <f t="shared" si="1"/>
        <v>6</v>
      </c>
      <c r="B7" s="119">
        <v>1.07</v>
      </c>
      <c r="C7" s="119">
        <v>0</v>
      </c>
      <c r="D7" s="120">
        <v>0.70399999999999996</v>
      </c>
      <c r="E7" s="119">
        <v>2</v>
      </c>
      <c r="F7" s="122">
        <f t="shared" si="4"/>
        <v>11</v>
      </c>
      <c r="G7" s="121">
        <f t="shared" si="0"/>
        <v>-10.46</v>
      </c>
      <c r="H7" s="158">
        <v>0</v>
      </c>
      <c r="I7" s="122">
        <f t="shared" si="2"/>
        <v>11</v>
      </c>
      <c r="J7" s="158">
        <f t="shared" si="3"/>
        <v>-5.5</v>
      </c>
      <c r="K7" s="74"/>
      <c r="L7" s="74"/>
      <c r="M7" s="74"/>
      <c r="N7" s="74"/>
    </row>
    <row r="8" spans="1:14" x14ac:dyDescent="0.25">
      <c r="A8" s="119">
        <f t="shared" si="1"/>
        <v>7</v>
      </c>
      <c r="B8" s="119">
        <v>1.1399999999999999</v>
      </c>
      <c r="C8" s="119">
        <v>0</v>
      </c>
      <c r="D8" s="120">
        <v>0.72399999999999998</v>
      </c>
      <c r="E8" s="119">
        <v>2</v>
      </c>
      <c r="F8" s="122">
        <f t="shared" si="4"/>
        <v>12</v>
      </c>
      <c r="G8" s="121">
        <f t="shared" si="0"/>
        <v>-9.5</v>
      </c>
      <c r="H8" s="158">
        <v>0</v>
      </c>
      <c r="I8" s="122">
        <f t="shared" si="2"/>
        <v>12</v>
      </c>
      <c r="J8" s="158">
        <f t="shared" si="3"/>
        <v>-5</v>
      </c>
      <c r="K8" s="74"/>
      <c r="L8" s="74"/>
      <c r="M8" s="74"/>
      <c r="N8" s="74"/>
    </row>
    <row r="9" spans="1:14" x14ac:dyDescent="0.25">
      <c r="A9" s="119">
        <f t="shared" si="1"/>
        <v>8</v>
      </c>
      <c r="B9" s="119">
        <v>1.22</v>
      </c>
      <c r="C9" s="119">
        <v>0</v>
      </c>
      <c r="D9" s="120">
        <v>0.74399999999999999</v>
      </c>
      <c r="E9" s="119">
        <v>1</v>
      </c>
      <c r="F9" s="122">
        <f t="shared" si="4"/>
        <v>13</v>
      </c>
      <c r="G9" s="121">
        <f t="shared" si="0"/>
        <v>-8.5399999999999991</v>
      </c>
      <c r="H9" s="158">
        <v>0</v>
      </c>
      <c r="I9" s="122">
        <f t="shared" si="2"/>
        <v>13</v>
      </c>
      <c r="J9" s="158">
        <f t="shared" si="3"/>
        <v>-4.5</v>
      </c>
      <c r="K9" s="74"/>
      <c r="L9" s="74"/>
      <c r="M9" s="74"/>
      <c r="N9" s="74"/>
    </row>
    <row r="10" spans="1:14" x14ac:dyDescent="0.25">
      <c r="A10" s="119">
        <f t="shared" si="1"/>
        <v>9</v>
      </c>
      <c r="B10" s="119">
        <v>1.31</v>
      </c>
      <c r="C10" s="119">
        <v>1</v>
      </c>
      <c r="D10" s="120">
        <v>0.76500000000000001</v>
      </c>
      <c r="E10" s="119">
        <v>3</v>
      </c>
      <c r="F10" s="122">
        <f t="shared" si="4"/>
        <v>14</v>
      </c>
      <c r="G10" s="121">
        <f t="shared" si="0"/>
        <v>-7.59</v>
      </c>
      <c r="H10" s="158">
        <v>0</v>
      </c>
      <c r="I10" s="122">
        <f t="shared" si="2"/>
        <v>14</v>
      </c>
      <c r="J10" s="158">
        <f t="shared" si="3"/>
        <v>-4</v>
      </c>
      <c r="K10" s="74"/>
      <c r="L10" s="74"/>
      <c r="M10" s="74"/>
      <c r="N10" s="74"/>
    </row>
    <row r="11" spans="1:14" x14ac:dyDescent="0.25">
      <c r="A11" s="119">
        <f t="shared" si="1"/>
        <v>10</v>
      </c>
      <c r="B11" s="119">
        <v>1.4</v>
      </c>
      <c r="C11" s="119">
        <v>1</v>
      </c>
      <c r="D11" s="120">
        <v>0.78600000000000003</v>
      </c>
      <c r="E11" s="119">
        <v>0</v>
      </c>
      <c r="F11" s="122">
        <f t="shared" si="4"/>
        <v>15</v>
      </c>
      <c r="G11" s="121">
        <f t="shared" si="0"/>
        <v>-6.63</v>
      </c>
      <c r="H11" s="158">
        <v>3</v>
      </c>
      <c r="I11" s="122">
        <f t="shared" si="2"/>
        <v>15</v>
      </c>
      <c r="J11" s="158">
        <f t="shared" si="3"/>
        <v>-3.5</v>
      </c>
      <c r="K11" s="74"/>
      <c r="L11" s="74"/>
      <c r="M11" s="74"/>
      <c r="N11" s="74"/>
    </row>
    <row r="12" spans="1:14" x14ac:dyDescent="0.25">
      <c r="A12" s="119">
        <f t="shared" si="1"/>
        <v>11</v>
      </c>
      <c r="B12" s="119">
        <v>1.5</v>
      </c>
      <c r="C12" s="119">
        <v>1</v>
      </c>
      <c r="D12" s="120">
        <v>0.80700000000000005</v>
      </c>
      <c r="E12" s="119">
        <v>5</v>
      </c>
      <c r="F12" s="122">
        <f t="shared" si="4"/>
        <v>16</v>
      </c>
      <c r="G12" s="121">
        <f t="shared" si="0"/>
        <v>-5.68</v>
      </c>
      <c r="H12" s="158">
        <v>1</v>
      </c>
      <c r="I12" s="122">
        <f t="shared" si="2"/>
        <v>16</v>
      </c>
      <c r="J12" s="158">
        <f t="shared" si="3"/>
        <v>-3</v>
      </c>
      <c r="K12" s="74"/>
      <c r="L12" s="74"/>
      <c r="M12" s="74"/>
      <c r="N12" s="74"/>
    </row>
    <row r="13" spans="1:14" x14ac:dyDescent="0.25">
      <c r="A13" s="119">
        <f t="shared" si="1"/>
        <v>12</v>
      </c>
      <c r="B13" s="119">
        <v>1.61</v>
      </c>
      <c r="C13" s="119">
        <v>5</v>
      </c>
      <c r="D13" s="120">
        <v>0.82899999999999996</v>
      </c>
      <c r="E13" s="119">
        <v>0</v>
      </c>
      <c r="F13" s="122">
        <f t="shared" si="4"/>
        <v>17</v>
      </c>
      <c r="G13" s="121">
        <f t="shared" si="0"/>
        <v>-4.7300000000000004</v>
      </c>
      <c r="H13" s="158">
        <v>3</v>
      </c>
      <c r="I13" s="122">
        <f t="shared" si="2"/>
        <v>17</v>
      </c>
      <c r="J13" s="158">
        <f t="shared" si="3"/>
        <v>-2.5</v>
      </c>
      <c r="K13" s="74"/>
      <c r="L13" s="74"/>
      <c r="M13" s="74"/>
      <c r="N13" s="74"/>
    </row>
    <row r="14" spans="1:14" x14ac:dyDescent="0.25">
      <c r="A14" s="119">
        <f t="shared" si="1"/>
        <v>13</v>
      </c>
      <c r="B14" s="119">
        <v>1.73</v>
      </c>
      <c r="C14" s="119">
        <v>3</v>
      </c>
      <c r="D14" s="120">
        <v>0.85199999999999998</v>
      </c>
      <c r="E14" s="119">
        <v>0</v>
      </c>
      <c r="F14" s="122">
        <f t="shared" si="4"/>
        <v>18</v>
      </c>
      <c r="G14" s="121">
        <f t="shared" si="0"/>
        <v>-3.78</v>
      </c>
      <c r="H14" s="158">
        <v>4</v>
      </c>
      <c r="I14" s="122">
        <f t="shared" si="2"/>
        <v>18</v>
      </c>
      <c r="J14" s="158">
        <f t="shared" si="3"/>
        <v>-2</v>
      </c>
      <c r="K14" s="74"/>
      <c r="L14" s="74"/>
      <c r="M14" s="74"/>
      <c r="N14" s="74"/>
    </row>
    <row r="15" spans="1:14" x14ac:dyDescent="0.25">
      <c r="A15" s="119">
        <f t="shared" si="1"/>
        <v>14</v>
      </c>
      <c r="B15" s="119">
        <v>1.86</v>
      </c>
      <c r="C15" s="119">
        <v>0</v>
      </c>
      <c r="D15" s="120">
        <v>0.875</v>
      </c>
      <c r="E15" s="119">
        <v>0</v>
      </c>
      <c r="F15" s="122">
        <f t="shared" si="4"/>
        <v>19</v>
      </c>
      <c r="G15" s="121">
        <f t="shared" si="0"/>
        <v>-2.84</v>
      </c>
      <c r="H15" s="158">
        <v>2</v>
      </c>
      <c r="I15" s="122">
        <f t="shared" si="2"/>
        <v>19</v>
      </c>
      <c r="J15" s="158">
        <f t="shared" si="3"/>
        <v>-1.5</v>
      </c>
      <c r="K15" s="74"/>
      <c r="L15" s="74"/>
      <c r="M15" s="74"/>
      <c r="N15" s="74"/>
    </row>
    <row r="16" spans="1:14" x14ac:dyDescent="0.25">
      <c r="A16" s="119">
        <f t="shared" si="1"/>
        <v>15</v>
      </c>
      <c r="B16" s="119">
        <v>2</v>
      </c>
      <c r="C16" s="119">
        <v>2</v>
      </c>
      <c r="D16" s="120">
        <v>0.89900000000000002</v>
      </c>
      <c r="E16" s="119">
        <v>0</v>
      </c>
      <c r="F16" s="122">
        <f t="shared" si="4"/>
        <v>20</v>
      </c>
      <c r="G16" s="121">
        <f t="shared" si="0"/>
        <v>-1.89</v>
      </c>
      <c r="H16" s="158">
        <v>0</v>
      </c>
      <c r="I16" s="122">
        <f t="shared" si="2"/>
        <v>20</v>
      </c>
      <c r="J16" s="158">
        <f t="shared" si="3"/>
        <v>-1</v>
      </c>
      <c r="K16" s="74"/>
      <c r="L16" s="74"/>
      <c r="M16" s="74"/>
      <c r="N16" s="74"/>
    </row>
    <row r="17" spans="1:14" x14ac:dyDescent="0.25">
      <c r="A17" s="119">
        <f t="shared" si="1"/>
        <v>16</v>
      </c>
      <c r="B17" s="119">
        <v>2.16</v>
      </c>
      <c r="C17" s="119">
        <v>0</v>
      </c>
      <c r="D17" s="120">
        <v>0.92300000000000004</v>
      </c>
      <c r="E17" s="119">
        <v>0</v>
      </c>
      <c r="F17" s="122">
        <f t="shared" si="4"/>
        <v>21</v>
      </c>
      <c r="G17" s="121">
        <f t="shared" si="0"/>
        <v>-0.95</v>
      </c>
      <c r="H17" s="158">
        <v>0</v>
      </c>
      <c r="I17" s="122">
        <f t="shared" si="2"/>
        <v>21</v>
      </c>
      <c r="J17" s="158">
        <f t="shared" si="3"/>
        <v>-0.5</v>
      </c>
      <c r="K17" s="74"/>
      <c r="L17" s="74"/>
      <c r="M17" s="74"/>
      <c r="N17" s="74"/>
    </row>
    <row r="18" spans="1:14" x14ac:dyDescent="0.25">
      <c r="A18" s="119">
        <f t="shared" si="1"/>
        <v>17</v>
      </c>
      <c r="B18" s="119">
        <v>2.33</v>
      </c>
      <c r="C18" s="119">
        <v>0</v>
      </c>
      <c r="D18" s="120">
        <v>0.94799999999999995</v>
      </c>
      <c r="E18" s="119">
        <v>0</v>
      </c>
      <c r="F18" s="122">
        <f t="shared" si="4"/>
        <v>22</v>
      </c>
      <c r="G18" s="121">
        <f t="shared" si="0"/>
        <v>0</v>
      </c>
      <c r="H18" s="158">
        <v>0</v>
      </c>
      <c r="I18" s="122">
        <f t="shared" si="2"/>
        <v>22</v>
      </c>
      <c r="J18" s="158">
        <f t="shared" si="3"/>
        <v>0</v>
      </c>
      <c r="K18" s="74"/>
      <c r="L18" s="74"/>
      <c r="M18" s="74"/>
      <c r="N18" s="74"/>
    </row>
    <row r="19" spans="1:14" x14ac:dyDescent="0.25">
      <c r="A19" s="119">
        <f t="shared" si="1"/>
        <v>18</v>
      </c>
      <c r="B19" s="119">
        <v>2.5299999999999998</v>
      </c>
      <c r="C19" s="119">
        <v>0</v>
      </c>
      <c r="D19" s="120">
        <v>0.97399999999999998</v>
      </c>
      <c r="E19" s="119">
        <v>0</v>
      </c>
      <c r="F19" s="122">
        <f t="shared" si="4"/>
        <v>23</v>
      </c>
      <c r="G19" s="121">
        <f t="shared" si="0"/>
        <v>0.95</v>
      </c>
      <c r="H19" s="158">
        <v>0</v>
      </c>
      <c r="I19" s="122">
        <f t="shared" si="2"/>
        <v>23</v>
      </c>
      <c r="J19" s="158">
        <f t="shared" si="3"/>
        <v>0.5</v>
      </c>
      <c r="K19" s="74"/>
      <c r="L19" s="74"/>
      <c r="M19" s="74"/>
      <c r="N19" s="74"/>
    </row>
    <row r="20" spans="1:14" s="92" customFormat="1" x14ac:dyDescent="0.25">
      <c r="A20" s="119">
        <f t="shared" si="1"/>
        <v>19</v>
      </c>
      <c r="B20" s="119">
        <v>2.75</v>
      </c>
      <c r="C20" s="119">
        <v>0</v>
      </c>
      <c r="D20" s="120">
        <v>1</v>
      </c>
      <c r="E20" s="119">
        <v>0</v>
      </c>
      <c r="F20" s="122">
        <f t="shared" si="4"/>
        <v>24</v>
      </c>
      <c r="G20" s="121">
        <f t="shared" si="0"/>
        <v>1.89</v>
      </c>
      <c r="H20" s="158">
        <v>0</v>
      </c>
      <c r="I20" s="122">
        <f t="shared" si="2"/>
        <v>24</v>
      </c>
      <c r="J20" s="158">
        <f t="shared" si="3"/>
        <v>1</v>
      </c>
    </row>
    <row r="21" spans="1:14" s="92" customFormat="1" x14ac:dyDescent="0.25">
      <c r="A21" s="119">
        <f t="shared" si="1"/>
        <v>20</v>
      </c>
      <c r="B21" s="119">
        <v>3</v>
      </c>
      <c r="C21" s="119">
        <v>0</v>
      </c>
      <c r="D21" s="120">
        <v>1.0269999999999999</v>
      </c>
      <c r="E21" s="119">
        <v>0</v>
      </c>
      <c r="F21" s="122">
        <f t="shared" si="4"/>
        <v>25</v>
      </c>
      <c r="G21" s="121">
        <f t="shared" si="0"/>
        <v>2.84</v>
      </c>
      <c r="H21" s="158">
        <v>0</v>
      </c>
      <c r="I21" s="122">
        <f t="shared" si="2"/>
        <v>25</v>
      </c>
      <c r="J21" s="158">
        <f t="shared" si="3"/>
        <v>1.5</v>
      </c>
    </row>
    <row r="22" spans="1:14" s="92" customFormat="1" x14ac:dyDescent="0.25">
      <c r="A22" s="119">
        <f t="shared" si="1"/>
        <v>21</v>
      </c>
      <c r="B22" s="119">
        <v>3.29</v>
      </c>
      <c r="C22" s="119">
        <v>0</v>
      </c>
      <c r="D22" s="120">
        <v>1.0529999999999999</v>
      </c>
      <c r="E22" s="119">
        <v>0</v>
      </c>
      <c r="F22" s="122">
        <f t="shared" si="4"/>
        <v>26</v>
      </c>
      <c r="G22" s="121">
        <f t="shared" si="0"/>
        <v>3.78</v>
      </c>
      <c r="H22" s="158">
        <v>0</v>
      </c>
      <c r="I22" s="122">
        <f t="shared" si="2"/>
        <v>26</v>
      </c>
      <c r="J22" s="158">
        <f t="shared" si="3"/>
        <v>2</v>
      </c>
    </row>
    <row r="23" spans="1:14" s="92" customFormat="1" x14ac:dyDescent="0.25">
      <c r="A23" s="119">
        <f t="shared" si="1"/>
        <v>22</v>
      </c>
      <c r="B23" s="119">
        <v>3.62</v>
      </c>
      <c r="C23" s="119">
        <v>0</v>
      </c>
      <c r="D23" s="120">
        <v>1.083</v>
      </c>
      <c r="E23" s="119">
        <v>0</v>
      </c>
      <c r="F23" s="122">
        <f t="shared" si="4"/>
        <v>27</v>
      </c>
      <c r="G23" s="121">
        <f t="shared" si="0"/>
        <v>4.7300000000000004</v>
      </c>
      <c r="H23" s="158">
        <v>0</v>
      </c>
      <c r="I23" s="122">
        <f t="shared" si="2"/>
        <v>27</v>
      </c>
      <c r="J23" s="158">
        <f t="shared" si="3"/>
        <v>2.5</v>
      </c>
    </row>
    <row r="24" spans="1:14" s="92" customFormat="1" x14ac:dyDescent="0.25">
      <c r="A24" s="119">
        <f t="shared" si="1"/>
        <v>23</v>
      </c>
      <c r="B24" s="119">
        <v>4</v>
      </c>
      <c r="C24" s="119">
        <v>0</v>
      </c>
      <c r="D24" s="120">
        <v>1.113</v>
      </c>
      <c r="E24" s="119">
        <v>0</v>
      </c>
      <c r="F24" s="122">
        <f t="shared" si="4"/>
        <v>28</v>
      </c>
      <c r="G24" s="121">
        <f t="shared" si="0"/>
        <v>5.68</v>
      </c>
      <c r="H24" s="158">
        <v>0</v>
      </c>
      <c r="I24" s="122">
        <f t="shared" si="2"/>
        <v>28</v>
      </c>
      <c r="J24" s="158">
        <f t="shared" si="3"/>
        <v>3</v>
      </c>
    </row>
    <row r="25" spans="1:14" s="92" customFormat="1" x14ac:dyDescent="0.25">
      <c r="A25" s="119">
        <f t="shared" si="1"/>
        <v>24</v>
      </c>
      <c r="B25" s="119">
        <v>4.45</v>
      </c>
      <c r="C25" s="119">
        <v>0</v>
      </c>
      <c r="D25" s="120">
        <v>1.143</v>
      </c>
      <c r="E25" s="119">
        <v>0</v>
      </c>
      <c r="F25" s="122">
        <f t="shared" si="4"/>
        <v>29</v>
      </c>
      <c r="G25" s="121">
        <f t="shared" si="0"/>
        <v>6.63</v>
      </c>
      <c r="H25" s="158">
        <v>0</v>
      </c>
      <c r="I25" s="122">
        <f t="shared" si="2"/>
        <v>29</v>
      </c>
      <c r="J25" s="158">
        <f t="shared" si="3"/>
        <v>3.5</v>
      </c>
    </row>
    <row r="26" spans="1:14" s="92" customFormat="1" x14ac:dyDescent="0.25">
      <c r="A26" s="119">
        <f t="shared" si="1"/>
        <v>25</v>
      </c>
      <c r="B26" s="119">
        <v>5</v>
      </c>
      <c r="C26" s="119">
        <v>0</v>
      </c>
      <c r="D26" s="120">
        <v>1.1739999999999999</v>
      </c>
      <c r="E26" s="119">
        <v>0</v>
      </c>
      <c r="F26" s="122">
        <f t="shared" si="4"/>
        <v>30</v>
      </c>
      <c r="G26" s="121">
        <f t="shared" si="0"/>
        <v>7.59</v>
      </c>
      <c r="H26" s="158">
        <v>0</v>
      </c>
      <c r="I26" s="122">
        <f t="shared" si="2"/>
        <v>30</v>
      </c>
      <c r="J26" s="158">
        <f t="shared" si="3"/>
        <v>4</v>
      </c>
    </row>
    <row r="27" spans="1:14" s="92" customFormat="1" x14ac:dyDescent="0.25">
      <c r="A27" s="119">
        <f t="shared" si="1"/>
        <v>26</v>
      </c>
      <c r="B27" s="119">
        <v>5.67</v>
      </c>
      <c r="C27" s="119">
        <v>0</v>
      </c>
      <c r="D27" s="120">
        <v>1.206</v>
      </c>
      <c r="E27" s="119">
        <v>0</v>
      </c>
      <c r="F27" s="122">
        <f t="shared" si="4"/>
        <v>31</v>
      </c>
      <c r="G27" s="121">
        <f t="shared" si="0"/>
        <v>8.5399999999999991</v>
      </c>
      <c r="H27" s="158">
        <v>0</v>
      </c>
      <c r="I27" s="122">
        <f t="shared" si="2"/>
        <v>31</v>
      </c>
      <c r="J27" s="158">
        <f t="shared" si="3"/>
        <v>4.5</v>
      </c>
    </row>
    <row r="28" spans="1:14" s="92" customFormat="1" x14ac:dyDescent="0.25">
      <c r="A28" s="119">
        <f t="shared" si="1"/>
        <v>27</v>
      </c>
      <c r="B28" s="119">
        <v>6.5</v>
      </c>
      <c r="C28" s="119">
        <v>0</v>
      </c>
      <c r="D28" s="120">
        <v>1.2390000000000001</v>
      </c>
      <c r="E28" s="119">
        <v>0</v>
      </c>
      <c r="F28" s="122">
        <f t="shared" si="4"/>
        <v>32</v>
      </c>
      <c r="G28" s="121">
        <f t="shared" si="0"/>
        <v>9.5</v>
      </c>
      <c r="H28" s="158">
        <v>0</v>
      </c>
      <c r="I28" s="122">
        <f t="shared" si="2"/>
        <v>32</v>
      </c>
      <c r="J28" s="158">
        <f t="shared" si="3"/>
        <v>5</v>
      </c>
    </row>
    <row r="29" spans="1:14" s="92" customFormat="1" x14ac:dyDescent="0.25">
      <c r="A29" s="119">
        <f t="shared" si="1"/>
        <v>28</v>
      </c>
      <c r="B29" s="119">
        <v>7.57</v>
      </c>
      <c r="C29" s="119">
        <v>0</v>
      </c>
      <c r="D29" s="120">
        <v>1.272</v>
      </c>
      <c r="E29" s="119">
        <v>0</v>
      </c>
      <c r="F29" s="122">
        <f t="shared" si="4"/>
        <v>33</v>
      </c>
      <c r="G29" s="121">
        <f t="shared" si="0"/>
        <v>10.46</v>
      </c>
      <c r="H29" s="158">
        <v>0</v>
      </c>
      <c r="I29" s="122">
        <f t="shared" si="2"/>
        <v>33</v>
      </c>
      <c r="J29" s="158">
        <f t="shared" si="3"/>
        <v>5.5</v>
      </c>
    </row>
    <row r="30" spans="1:14" s="92" customFormat="1" x14ac:dyDescent="0.25">
      <c r="A30" s="119">
        <f t="shared" si="1"/>
        <v>29</v>
      </c>
      <c r="B30" s="119">
        <v>9</v>
      </c>
      <c r="C30" s="119">
        <v>0</v>
      </c>
      <c r="D30" s="120">
        <v>1.3080000000000001</v>
      </c>
      <c r="E30" s="119">
        <v>0</v>
      </c>
      <c r="F30" s="122">
        <f t="shared" si="4"/>
        <v>34</v>
      </c>
      <c r="G30" s="121">
        <f t="shared" si="0"/>
        <v>11.42</v>
      </c>
      <c r="H30" s="158">
        <v>0</v>
      </c>
      <c r="I30" s="122">
        <f t="shared" si="2"/>
        <v>34</v>
      </c>
      <c r="J30" s="158">
        <f t="shared" si="3"/>
        <v>6</v>
      </c>
    </row>
    <row r="31" spans="1:14" s="92" customFormat="1" x14ac:dyDescent="0.25">
      <c r="A31" s="119">
        <f t="shared" si="1"/>
        <v>30</v>
      </c>
      <c r="B31" s="119">
        <v>10.5</v>
      </c>
      <c r="C31" s="119">
        <v>0</v>
      </c>
      <c r="D31" s="120">
        <v>1.3440000000000001</v>
      </c>
      <c r="E31" s="119">
        <v>0</v>
      </c>
      <c r="F31" s="122">
        <f t="shared" si="4"/>
        <v>35</v>
      </c>
      <c r="G31" s="121">
        <f t="shared" si="0"/>
        <v>12.39</v>
      </c>
      <c r="H31" s="158">
        <v>0</v>
      </c>
      <c r="I31" s="122">
        <f t="shared" si="2"/>
        <v>35</v>
      </c>
      <c r="J31" s="158">
        <f t="shared" si="3"/>
        <v>6.5</v>
      </c>
    </row>
    <row r="32" spans="1:14" s="92" customFormat="1" x14ac:dyDescent="0.25">
      <c r="A32" s="119"/>
      <c r="B32" s="119"/>
      <c r="C32" s="119"/>
      <c r="D32" s="120">
        <v>1.381</v>
      </c>
      <c r="E32" s="119">
        <v>0</v>
      </c>
      <c r="F32" s="122">
        <f t="shared" si="4"/>
        <v>36</v>
      </c>
      <c r="G32" s="121"/>
      <c r="H32" s="158"/>
      <c r="I32" s="122"/>
      <c r="J32" s="158"/>
    </row>
    <row r="33" spans="1:10" s="92" customFormat="1" x14ac:dyDescent="0.25">
      <c r="A33" s="119"/>
      <c r="B33" s="119"/>
      <c r="C33" s="119"/>
      <c r="D33" s="120">
        <v>1.42</v>
      </c>
      <c r="E33" s="119">
        <v>0</v>
      </c>
      <c r="F33" s="122">
        <f t="shared" si="4"/>
        <v>37</v>
      </c>
      <c r="G33" s="121"/>
      <c r="H33" s="158"/>
      <c r="I33" s="122"/>
      <c r="J33" s="158"/>
    </row>
    <row r="34" spans="1:10" s="92" customFormat="1" x14ac:dyDescent="0.25">
      <c r="A34" s="119"/>
      <c r="B34" s="119"/>
      <c r="C34" s="119"/>
      <c r="D34" s="120"/>
      <c r="E34" s="119"/>
      <c r="F34" s="122"/>
      <c r="G34" s="121"/>
      <c r="H34" s="158"/>
      <c r="I34" s="122"/>
      <c r="J34" s="158"/>
    </row>
    <row r="35" spans="1:10" s="92" customFormat="1" x14ac:dyDescent="0.25">
      <c r="A35" s="119"/>
      <c r="B35" s="119"/>
      <c r="C35" s="119">
        <f>MAX(C1:C31)+2</f>
        <v>7</v>
      </c>
      <c r="D35" s="119"/>
      <c r="E35" s="119">
        <f>MAX(E1:E31)+2</f>
        <v>7</v>
      </c>
      <c r="F35" s="119"/>
      <c r="G35" s="158"/>
      <c r="H35" s="158">
        <f>MAX(H1:H31)+2</f>
        <v>6</v>
      </c>
      <c r="I35" s="158"/>
      <c r="J35" s="158">
        <f>J31+0.5</f>
        <v>7</v>
      </c>
    </row>
    <row r="36" spans="1:10" s="92" customFormat="1" x14ac:dyDescent="0.25">
      <c r="A36" s="243" t="s">
        <v>84</v>
      </c>
      <c r="B36" s="243"/>
      <c r="C36" s="243"/>
      <c r="D36" s="243" t="s">
        <v>105</v>
      </c>
      <c r="E36" s="243"/>
      <c r="F36" s="243"/>
      <c r="G36" s="243" t="s">
        <v>1</v>
      </c>
      <c r="H36" s="243"/>
      <c r="I36" s="243"/>
      <c r="J36" s="243"/>
    </row>
    <row r="37" spans="1:10" s="92" customFormat="1" ht="26.4" x14ac:dyDescent="0.25">
      <c r="A37" s="123" t="s">
        <v>106</v>
      </c>
      <c r="B37" s="123" t="s">
        <v>107</v>
      </c>
      <c r="C37" s="123" t="s">
        <v>108</v>
      </c>
      <c r="D37" s="123" t="s">
        <v>107</v>
      </c>
      <c r="E37" s="123" t="s">
        <v>109</v>
      </c>
      <c r="F37" s="123" t="s">
        <v>106</v>
      </c>
      <c r="G37" s="123" t="s">
        <v>107</v>
      </c>
      <c r="H37" s="123" t="s">
        <v>109</v>
      </c>
      <c r="I37" s="123" t="s">
        <v>106</v>
      </c>
      <c r="J37" s="158" t="s">
        <v>110</v>
      </c>
    </row>
    <row r="38" spans="1:10" s="92" customFormat="1" x14ac:dyDescent="0.25">
      <c r="A38" s="90"/>
      <c r="B38" s="90"/>
      <c r="C38" s="90"/>
      <c r="D38" s="90"/>
      <c r="E38" s="90"/>
      <c r="F38" s="90"/>
      <c r="G38" s="90"/>
      <c r="H38" s="90"/>
      <c r="I38" s="90"/>
      <c r="J38" s="90"/>
    </row>
    <row r="39" spans="1:10" s="92" customFormat="1" x14ac:dyDescent="0.25">
      <c r="A39" s="90"/>
      <c r="B39" s="90"/>
      <c r="C39" s="90"/>
      <c r="D39" s="90"/>
      <c r="E39" s="90"/>
      <c r="F39" s="90"/>
      <c r="G39" s="90"/>
      <c r="H39" s="90"/>
      <c r="I39" s="90"/>
      <c r="J39" s="90"/>
    </row>
  </sheetData>
  <sheetProtection password="C1AF" sheet="1" objects="1" scenarios="1" selectLockedCells="1" selectUnlockedCells="1"/>
  <mergeCells count="3">
    <mergeCell ref="A36:C36"/>
    <mergeCell ref="D36:F36"/>
    <mergeCell ref="G36:J36"/>
  </mergeCells>
  <phoneticPr fontId="6" type="noConversion"/>
  <printOptions horizontalCentered="1"/>
  <pageMargins left="0.78740157480314965" right="0.78740157480314965" top="0.70866141732283472" bottom="0.59055118110236227" header="0.51181102362204722" footer="0.51181102362204722"/>
  <pageSetup paperSize="9" orientation="portrait" horizontalDpi="200" verticalDpi="2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indexed="9"/>
  </sheetPr>
  <dimension ref="A1"/>
  <sheetViews>
    <sheetView showGridLines="0" showRowColHeaders="0" zoomScale="175" zoomScaleSheetLayoutView="175" workbookViewId="0"/>
  </sheetViews>
  <sheetFormatPr defaultRowHeight="13.2" x14ac:dyDescent="0.25"/>
  <sheetData>
    <row r="1" spans="1:1" x14ac:dyDescent="0.25">
      <c r="A1" s="90">
        <f>Графики!C35</f>
        <v>7</v>
      </c>
    </row>
  </sheetData>
  <sheetProtection password="C1AF" sheet="1" objects="1" scenarios="1"/>
  <pageMargins left="0.7" right="0.7" top="0.75" bottom="0.75" header="0.3" footer="0.3"/>
  <pageSetup paperSize="9"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indexed="9"/>
  </sheetPr>
  <dimension ref="A1"/>
  <sheetViews>
    <sheetView showGridLines="0" showRowColHeaders="0" topLeftCell="A4" zoomScale="175" zoomScaleNormal="175" zoomScaleSheetLayoutView="175" workbookViewId="0"/>
  </sheetViews>
  <sheetFormatPr defaultRowHeight="13.2" x14ac:dyDescent="0.25"/>
  <sheetData>
    <row r="1" spans="1:1" x14ac:dyDescent="0.25">
      <c r="A1" s="90">
        <f>Графики!H35</f>
        <v>6</v>
      </c>
    </row>
  </sheetData>
  <sheetProtection password="C1AF" sheet="1" objects="1" scenarios="1"/>
  <pageMargins left="0.7" right="0.7" top="0.75" bottom="0.75" header="0.3" footer="0.3"/>
  <pageSetup paperSize="9"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indexed="9"/>
  </sheetPr>
  <dimension ref="A1"/>
  <sheetViews>
    <sheetView showGridLines="0" showRowColHeaders="0" zoomScale="175" zoomScaleSheetLayoutView="175" workbookViewId="0"/>
  </sheetViews>
  <sheetFormatPr defaultRowHeight="13.2" x14ac:dyDescent="0.25"/>
  <sheetData>
    <row r="1" spans="1:1" x14ac:dyDescent="0.25">
      <c r="A1" s="90">
        <f>Графики!E35</f>
        <v>7</v>
      </c>
    </row>
  </sheetData>
  <sheetProtection password="C1AF" sheet="1" objects="1" scenarios="1"/>
  <pageMargins left="0.7" right="0.7" top="0.75" bottom="0.75" header="0.3" footer="0.3"/>
  <pageSetup paperSize="9"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indexed="9"/>
    <pageSetUpPr fitToPage="1"/>
  </sheetPr>
  <dimension ref="A1:AR130"/>
  <sheetViews>
    <sheetView showGridLines="0" showRowColHeaders="0" topLeftCell="A13" zoomScale="75" zoomScaleNormal="75" workbookViewId="0">
      <selection sqref="A1:E1"/>
    </sheetView>
  </sheetViews>
  <sheetFormatPr defaultRowHeight="13.2" x14ac:dyDescent="0.25"/>
  <cols>
    <col min="1" max="1" width="8.21875" customWidth="1"/>
    <col min="2" max="2" width="45.44140625" customWidth="1"/>
    <col min="3" max="3" width="17.33203125" customWidth="1"/>
    <col min="4" max="4" width="14.77734375" customWidth="1"/>
    <col min="5" max="5" width="57" customWidth="1"/>
    <col min="6" max="7" width="10.6640625" style="82" customWidth="1"/>
    <col min="8" max="21" width="8.88671875" style="82"/>
    <col min="22" max="22" width="8.88671875" style="140"/>
    <col min="23" max="38" width="8.88671875" style="82"/>
    <col min="39" max="43" width="8.88671875" style="90"/>
  </cols>
  <sheetData>
    <row r="1" spans="1:44" ht="12" customHeight="1" x14ac:dyDescent="0.25">
      <c r="A1" s="253" t="s">
        <v>34</v>
      </c>
      <c r="B1" s="253"/>
      <c r="C1" s="253"/>
      <c r="D1" s="253"/>
      <c r="E1" s="253"/>
      <c r="F1" s="86"/>
      <c r="G1" s="86"/>
      <c r="H1" s="86"/>
      <c r="I1" s="86"/>
      <c r="J1" s="86"/>
      <c r="K1" s="86"/>
      <c r="L1" s="86"/>
      <c r="N1" s="79"/>
      <c r="O1" s="79"/>
      <c r="P1" s="79"/>
      <c r="Q1" s="80">
        <f>IF(AND(Индексы!B2,Результаты!B3=" ",Результаты!C3=" ",Результаты!D3=" ",Результаты!E3=" "),1,0)</f>
        <v>0</v>
      </c>
      <c r="R1" s="79"/>
      <c r="S1" s="79"/>
      <c r="T1" s="79"/>
      <c r="U1" s="79"/>
      <c r="V1" s="125"/>
      <c r="W1" s="79"/>
      <c r="X1" s="79"/>
      <c r="Y1" s="81"/>
    </row>
    <row r="2" spans="1:44" s="19" customFormat="1" ht="12" customHeight="1" x14ac:dyDescent="0.25">
      <c r="A2" s="59" t="s">
        <v>13</v>
      </c>
      <c r="B2" s="60" t="s">
        <v>36</v>
      </c>
      <c r="C2" s="60" t="s">
        <v>37</v>
      </c>
      <c r="D2" s="60" t="s">
        <v>116</v>
      </c>
      <c r="E2" s="60" t="s">
        <v>38</v>
      </c>
      <c r="F2" s="96"/>
      <c r="G2" s="96"/>
      <c r="H2" s="97"/>
      <c r="I2" s="97"/>
      <c r="J2" s="97"/>
      <c r="K2" s="97"/>
      <c r="L2" s="97"/>
      <c r="M2" s="97"/>
      <c r="N2" s="79"/>
      <c r="O2" s="79"/>
      <c r="P2" s="79"/>
      <c r="Q2" s="80">
        <f>IF(AND(Индексы!B3,Результаты!B4=" ",Результаты!C4=" ",Результаты!D4=" ",Результаты!E4=" "),1,0)</f>
        <v>0</v>
      </c>
      <c r="R2" s="79"/>
      <c r="S2" s="79"/>
      <c r="T2" s="79"/>
      <c r="U2" s="79"/>
      <c r="V2" s="125"/>
      <c r="W2" s="79"/>
      <c r="X2" s="79"/>
      <c r="Y2" s="79"/>
      <c r="Z2" s="83"/>
      <c r="AA2" s="83"/>
      <c r="AB2" s="83"/>
      <c r="AC2" s="83"/>
      <c r="AD2" s="83"/>
      <c r="AE2" s="83"/>
      <c r="AF2" s="83"/>
      <c r="AG2" s="83"/>
      <c r="AH2" s="83"/>
      <c r="AI2" s="83"/>
      <c r="AJ2" s="83"/>
      <c r="AK2" s="83"/>
      <c r="AL2" s="83"/>
      <c r="AM2" s="93"/>
      <c r="AN2" s="93"/>
      <c r="AO2" s="93"/>
      <c r="AP2" s="93"/>
      <c r="AQ2" s="93"/>
    </row>
    <row r="3" spans="1:44" s="25" customFormat="1" ht="12" customHeight="1" x14ac:dyDescent="0.25">
      <c r="A3" s="61">
        <v>1</v>
      </c>
      <c r="B3" s="62" t="s">
        <v>54</v>
      </c>
      <c r="C3" s="63">
        <f>COUNTIF(Индексы!$B$2:$B$101,"&gt;0")</f>
        <v>13</v>
      </c>
      <c r="D3" s="106"/>
      <c r="E3" s="63" t="s">
        <v>63</v>
      </c>
      <c r="F3" s="98"/>
      <c r="G3" s="98"/>
      <c r="H3" s="99"/>
      <c r="I3" s="99"/>
      <c r="J3" s="99"/>
      <c r="K3" s="99"/>
      <c r="L3" s="99"/>
      <c r="M3" s="99"/>
      <c r="N3" s="110"/>
      <c r="O3" s="110"/>
      <c r="P3" s="110"/>
      <c r="Q3" s="80">
        <f>IF(AND(Индексы!B4,Результаты!B5=" ",Результаты!C5=" ",Результаты!D5=" ",Результаты!E5=" "),1,0)</f>
        <v>0</v>
      </c>
      <c r="R3" s="110"/>
      <c r="S3" s="110"/>
      <c r="T3" s="110"/>
      <c r="U3" s="110"/>
      <c r="V3" s="126"/>
      <c r="W3" s="110"/>
      <c r="X3" s="110"/>
      <c r="Y3" s="110"/>
      <c r="Z3" s="84"/>
      <c r="AA3" s="84"/>
      <c r="AB3" s="84"/>
      <c r="AC3" s="84"/>
      <c r="AD3" s="84"/>
      <c r="AE3" s="84"/>
      <c r="AF3" s="84"/>
      <c r="AG3" s="84"/>
      <c r="AH3" s="84"/>
      <c r="AI3" s="84"/>
      <c r="AJ3" s="84"/>
      <c r="AK3" s="84"/>
      <c r="AL3" s="84"/>
      <c r="AM3" s="94"/>
      <c r="AN3" s="94"/>
      <c r="AO3" s="94"/>
      <c r="AP3" s="94"/>
      <c r="AQ3" s="94"/>
    </row>
    <row r="4" spans="1:44" s="25" customFormat="1" ht="24" customHeight="1" x14ac:dyDescent="0.25">
      <c r="A4" s="61">
        <v>2</v>
      </c>
      <c r="B4" s="62" t="s">
        <v>55</v>
      </c>
      <c r="C4" s="64">
        <f>P7/C3</f>
        <v>0</v>
      </c>
      <c r="D4" s="106">
        <f>-ROUND(C4/5%,0)</f>
        <v>0</v>
      </c>
      <c r="E4" s="63" t="s">
        <v>129</v>
      </c>
      <c r="F4" s="98"/>
      <c r="G4" s="98"/>
      <c r="H4" s="99"/>
      <c r="I4" s="99"/>
      <c r="J4" s="99"/>
      <c r="K4" s="99"/>
      <c r="L4" s="99"/>
      <c r="M4" s="99"/>
      <c r="N4" s="110"/>
      <c r="O4" s="110"/>
      <c r="P4" s="110"/>
      <c r="Q4" s="80">
        <f>IF(AND(Индексы!B5,Результаты!B6=" ",Результаты!C6=" ",Результаты!D6=" ",Результаты!E6=" "),1,0)</f>
        <v>0</v>
      </c>
      <c r="R4" s="110"/>
      <c r="S4" s="110"/>
      <c r="T4" s="110"/>
      <c r="U4" s="110"/>
      <c r="V4" s="126"/>
      <c r="W4" s="110"/>
      <c r="X4" s="110"/>
      <c r="Y4" s="110"/>
      <c r="Z4" s="84"/>
      <c r="AA4" s="84"/>
      <c r="AB4" s="84"/>
      <c r="AC4" s="84"/>
      <c r="AD4" s="84"/>
      <c r="AE4" s="84"/>
      <c r="AF4" s="84"/>
      <c r="AG4" s="84"/>
      <c r="AH4" s="84"/>
      <c r="AI4" s="84"/>
      <c r="AJ4" s="84"/>
      <c r="AK4" s="84"/>
      <c r="AL4" s="84"/>
      <c r="AM4" s="94"/>
      <c r="AN4" s="94"/>
      <c r="AO4" s="94"/>
      <c r="AP4" s="94"/>
      <c r="AQ4" s="94"/>
    </row>
    <row r="5" spans="1:44" s="25" customFormat="1" ht="24.6" customHeight="1" x14ac:dyDescent="0.25">
      <c r="A5" s="246">
        <v>3</v>
      </c>
      <c r="B5" s="62" t="s">
        <v>85</v>
      </c>
      <c r="C5" s="63"/>
      <c r="D5" s="106"/>
      <c r="E5" s="63" t="s">
        <v>65</v>
      </c>
      <c r="F5" s="98"/>
      <c r="G5" s="98"/>
      <c r="H5" s="99"/>
      <c r="I5" s="99"/>
      <c r="J5" s="99"/>
      <c r="K5" s="99"/>
      <c r="L5" s="99"/>
      <c r="M5" s="99"/>
      <c r="N5" s="110"/>
      <c r="O5" s="110"/>
      <c r="P5" s="110"/>
      <c r="Q5" s="80">
        <f>IF(AND(Индексы!B6,Результаты!B7=" ",Результаты!C7=" ",Результаты!D7=" ",Результаты!E7=" "),1,0)</f>
        <v>0</v>
      </c>
      <c r="R5" s="110"/>
      <c r="S5" s="110"/>
      <c r="T5" s="110"/>
      <c r="U5" s="110"/>
      <c r="V5" s="126"/>
      <c r="W5" s="110"/>
      <c r="X5" s="110"/>
      <c r="Y5" s="110"/>
      <c r="Z5" s="84"/>
      <c r="AA5" s="84"/>
      <c r="AB5" s="84"/>
      <c r="AC5" s="84"/>
      <c r="AD5" s="84"/>
      <c r="AE5" s="84"/>
      <c r="AF5" s="84"/>
      <c r="AG5" s="84"/>
      <c r="AH5" s="84"/>
      <c r="AI5" s="84"/>
      <c r="AJ5" s="84"/>
      <c r="AK5" s="84"/>
      <c r="AL5" s="84"/>
      <c r="AM5" s="94"/>
      <c r="AN5" s="94"/>
      <c r="AO5" s="94"/>
      <c r="AP5" s="94"/>
      <c r="AQ5" s="94"/>
    </row>
    <row r="6" spans="1:44" s="24" customFormat="1" ht="12" customHeight="1" x14ac:dyDescent="0.25">
      <c r="A6" s="254"/>
      <c r="B6" s="65" t="s">
        <v>39</v>
      </c>
      <c r="C6" s="163" t="str">
        <f>TEXT(Индексы!B102,"0,000")&amp;" ± "&amp;TEXT(ROUND(Индексы!B103,3)/POWER(COUNTIF(Индексы!$B$2:$B$101,"&gt;0"),0.5),"0,000")</f>
        <v>1,585 ± 0,054</v>
      </c>
      <c r="D6" s="107"/>
      <c r="E6" s="66" t="str">
        <f>ROUND(Индексы!E102*100,1)&amp;" ± "&amp;ROUND(ROUND(Индексы!E103*100,1)/POWER(COUNTIF(Индексы!$B$2:$B$101,"&gt;0"),0.5),2)&amp;"% по Алпатову"</f>
        <v>67,6 ± 2,05% по Алпатову</v>
      </c>
      <c r="F6" s="100"/>
      <c r="G6" s="100"/>
      <c r="H6" s="101"/>
      <c r="I6" s="101"/>
      <c r="J6" s="101"/>
      <c r="K6" s="101"/>
      <c r="L6" s="101"/>
      <c r="M6" s="101"/>
      <c r="N6" s="111"/>
      <c r="O6" s="111"/>
      <c r="P6" s="111"/>
      <c r="Q6" s="80">
        <f>IF(AND(Индексы!B7,Результаты!B8=" ",Результаты!C8=" ",Результаты!D8=" ",Результаты!E8=" "),1,0)</f>
        <v>0</v>
      </c>
      <c r="R6" s="159"/>
      <c r="S6" s="159"/>
      <c r="T6" s="159"/>
      <c r="U6" s="159"/>
      <c r="V6" s="127"/>
      <c r="W6" s="159"/>
      <c r="X6" s="159"/>
      <c r="Y6" s="159"/>
      <c r="Z6" s="85"/>
      <c r="AA6" s="85"/>
      <c r="AB6" s="85"/>
      <c r="AC6" s="85"/>
      <c r="AD6" s="85"/>
      <c r="AE6" s="85"/>
      <c r="AF6" s="85"/>
      <c r="AG6" s="85"/>
      <c r="AH6" s="85"/>
      <c r="AI6" s="85"/>
      <c r="AJ6" s="85"/>
      <c r="AK6" s="85"/>
      <c r="AL6" s="85"/>
      <c r="AM6" s="95"/>
      <c r="AN6" s="95"/>
      <c r="AO6" s="95"/>
      <c r="AP6" s="95"/>
      <c r="AQ6" s="95"/>
    </row>
    <row r="7" spans="1:44" s="24" customFormat="1" ht="12" customHeight="1" x14ac:dyDescent="0.25">
      <c r="A7" s="254"/>
      <c r="B7" s="65" t="s">
        <v>40</v>
      </c>
      <c r="C7" s="163" t="str">
        <f>TEXT(Индексы!C102,"0,000")&amp;" ± "&amp;ABS(TEXT(ROUND(Индексы!C103,3)/POWER(COUNTIF(Индексы!$B$2:$B$101,"&gt;0"),0.5),"0,000"))</f>
        <v>-5,266 ± 0,351</v>
      </c>
      <c r="D7" s="107"/>
      <c r="E7" s="67"/>
      <c r="F7" s="100"/>
      <c r="G7" s="100"/>
      <c r="H7" s="101"/>
      <c r="I7" s="101"/>
      <c r="J7" s="101"/>
      <c r="K7" s="101"/>
      <c r="L7" s="101"/>
      <c r="M7" s="101"/>
      <c r="N7" s="252" t="s">
        <v>35</v>
      </c>
      <c r="O7" s="252"/>
      <c r="P7" s="111">
        <f>SUM(Q1:Q106)</f>
        <v>0</v>
      </c>
      <c r="Q7" s="80">
        <f>IF(AND(Индексы!B8,Результаты!B9=" ",Результаты!C9=" ",Результаты!D9=" ",Результаты!E9=" "),1,0)</f>
        <v>0</v>
      </c>
      <c r="R7" s="159"/>
      <c r="S7" s="159"/>
      <c r="T7" s="159"/>
      <c r="U7" s="159"/>
      <c r="V7" s="127"/>
      <c r="W7" s="159"/>
      <c r="X7" s="159"/>
      <c r="Y7" s="159"/>
      <c r="Z7" s="85"/>
      <c r="AA7" s="85"/>
      <c r="AB7" s="85"/>
      <c r="AC7" s="85"/>
      <c r="AD7" s="85"/>
      <c r="AE7" s="85"/>
      <c r="AF7" s="85"/>
      <c r="AG7" s="85"/>
      <c r="AH7" s="85"/>
      <c r="AI7" s="85"/>
      <c r="AJ7" s="85"/>
      <c r="AK7" s="85"/>
      <c r="AL7" s="85"/>
      <c r="AM7" s="95"/>
      <c r="AN7" s="95"/>
      <c r="AO7" s="95"/>
      <c r="AP7" s="95"/>
      <c r="AQ7" s="95"/>
      <c r="AR7" s="72"/>
    </row>
    <row r="8" spans="1:44" s="24" customFormat="1" ht="12" customHeight="1" x14ac:dyDescent="0.25">
      <c r="A8" s="255"/>
      <c r="B8" s="65" t="s">
        <v>41</v>
      </c>
      <c r="C8" s="163" t="str">
        <f>TEXT(Индексы!D102,"0,000")&amp;" ± "&amp;TEXT(ROUND(Индексы!D103,3)/POWER(COUNTIF(Индексы!$B$2:$B$101,"&gt;0"),0.5),"0,000")</f>
        <v>0,755 ± 0,011</v>
      </c>
      <c r="D8" s="107"/>
      <c r="E8" s="67"/>
      <c r="F8" s="100"/>
      <c r="G8" s="100"/>
      <c r="H8" s="101"/>
      <c r="I8" s="101"/>
      <c r="J8" s="101"/>
      <c r="K8" s="101"/>
      <c r="L8" s="101"/>
      <c r="M8" s="101"/>
      <c r="N8" s="111"/>
      <c r="O8" s="85"/>
      <c r="P8" s="111"/>
      <c r="Q8" s="80">
        <f>IF(AND(Индексы!B9,Результаты!B10=" ",Результаты!C10=" ",Результаты!D10=" ",Результаты!E10=" "),1,0)</f>
        <v>0</v>
      </c>
      <c r="R8" s="159"/>
      <c r="S8" s="159"/>
      <c r="T8" s="159"/>
      <c r="U8" s="159"/>
      <c r="V8" s="127"/>
      <c r="W8" s="159"/>
      <c r="X8" s="159"/>
      <c r="Y8" s="159"/>
      <c r="Z8" s="85"/>
      <c r="AA8" s="85"/>
      <c r="AB8" s="85"/>
      <c r="AC8" s="85"/>
      <c r="AD8" s="85"/>
      <c r="AE8" s="85"/>
      <c r="AF8" s="85"/>
      <c r="AG8" s="85"/>
      <c r="AH8" s="85"/>
      <c r="AI8" s="85"/>
      <c r="AJ8" s="85"/>
      <c r="AK8" s="85"/>
      <c r="AL8" s="85"/>
      <c r="AM8" s="95"/>
      <c r="AN8" s="95"/>
      <c r="AO8" s="95"/>
      <c r="AP8" s="95"/>
      <c r="AQ8" s="95"/>
    </row>
    <row r="9" spans="1:44" s="25" customFormat="1" ht="28.2" customHeight="1" x14ac:dyDescent="0.25">
      <c r="A9" s="246" t="s">
        <v>49</v>
      </c>
      <c r="B9" s="62" t="s">
        <v>56</v>
      </c>
      <c r="C9" s="63"/>
      <c r="D9" s="106"/>
      <c r="E9" s="63" t="s">
        <v>64</v>
      </c>
      <c r="F9" s="98"/>
      <c r="G9" s="98"/>
      <c r="H9" s="99"/>
      <c r="I9" s="99"/>
      <c r="J9" s="99"/>
      <c r="K9" s="99"/>
      <c r="L9" s="99"/>
      <c r="M9" s="99"/>
      <c r="N9" s="110"/>
      <c r="O9" s="110"/>
      <c r="P9" s="110"/>
      <c r="Q9" s="80">
        <f>IF(AND(Индексы!B10,Результаты!B11=" ",Результаты!C11=" ",Результаты!D11=" ",Результаты!E11=" "),1,0)</f>
        <v>0</v>
      </c>
      <c r="R9" s="110"/>
      <c r="S9" s="110"/>
      <c r="T9" s="110"/>
      <c r="U9" s="110"/>
      <c r="V9" s="126"/>
      <c r="W9" s="110"/>
      <c r="X9" s="110"/>
      <c r="Y9" s="110"/>
      <c r="Z9" s="84"/>
      <c r="AA9" s="84"/>
      <c r="AB9" s="84"/>
      <c r="AC9" s="84"/>
      <c r="AD9" s="84"/>
      <c r="AE9" s="84"/>
      <c r="AF9" s="84"/>
      <c r="AG9" s="84"/>
      <c r="AH9" s="84"/>
      <c r="AI9" s="84"/>
      <c r="AJ9" s="84"/>
      <c r="AK9" s="84"/>
      <c r="AL9" s="84"/>
      <c r="AM9" s="94"/>
      <c r="AN9" s="94"/>
      <c r="AO9" s="94"/>
      <c r="AP9" s="94"/>
      <c r="AQ9" s="94"/>
    </row>
    <row r="10" spans="1:44" s="24" customFormat="1" ht="12" customHeight="1" x14ac:dyDescent="0.25">
      <c r="A10" s="254"/>
      <c r="B10" s="65" t="str">
        <f>"    - "&amp;Результаты!H23</f>
        <v xml:space="preserve">    - Mellifera</v>
      </c>
      <c r="C10" s="164">
        <f>Результаты!I23</f>
        <v>13</v>
      </c>
      <c r="D10" s="107"/>
      <c r="E10" s="67"/>
      <c r="F10" s="100"/>
      <c r="G10" s="100"/>
      <c r="H10" s="101"/>
      <c r="I10" s="101"/>
      <c r="J10" s="101"/>
      <c r="K10" s="101"/>
      <c r="L10" s="101"/>
      <c r="M10" s="101"/>
      <c r="N10" s="111"/>
      <c r="O10" s="111"/>
      <c r="P10" s="111"/>
      <c r="Q10" s="80">
        <f>IF(AND(Индексы!B11,Результаты!B12=" ",Результаты!C12=" ",Результаты!D12=" ",Результаты!E12=" "),1,0)</f>
        <v>0</v>
      </c>
      <c r="R10" s="159"/>
      <c r="S10" s="159"/>
      <c r="T10" s="159"/>
      <c r="U10" s="159"/>
      <c r="V10" s="127"/>
      <c r="W10" s="159"/>
      <c r="X10" s="159"/>
      <c r="Y10" s="159"/>
      <c r="Z10" s="85"/>
      <c r="AA10" s="85"/>
      <c r="AB10" s="85"/>
      <c r="AC10" s="85"/>
      <c r="AD10" s="85"/>
      <c r="AE10" s="85"/>
      <c r="AF10" s="85"/>
      <c r="AG10" s="85"/>
      <c r="AH10" s="85"/>
      <c r="AI10" s="85"/>
      <c r="AJ10" s="85"/>
      <c r="AK10" s="85"/>
      <c r="AL10" s="85"/>
      <c r="AM10" s="95"/>
      <c r="AN10" s="95"/>
      <c r="AO10" s="95"/>
      <c r="AP10" s="95"/>
      <c r="AQ10" s="95"/>
    </row>
    <row r="11" spans="1:44" s="24" customFormat="1" ht="12" customHeight="1" x14ac:dyDescent="0.25">
      <c r="A11" s="254"/>
      <c r="B11" s="65" t="str">
        <f>"    - "&amp;Результаты!H24</f>
        <v xml:space="preserve">    - Caucasica</v>
      </c>
      <c r="C11" s="164">
        <f>Результаты!I24</f>
        <v>0</v>
      </c>
      <c r="D11" s="107"/>
      <c r="E11" s="67"/>
      <c r="F11" s="100"/>
      <c r="G11" s="100"/>
      <c r="H11" s="101"/>
      <c r="I11" s="101"/>
      <c r="J11" s="101"/>
      <c r="K11" s="101"/>
      <c r="L11" s="101"/>
      <c r="M11" s="101"/>
      <c r="N11" s="111"/>
      <c r="O11" s="111"/>
      <c r="P11" s="111"/>
      <c r="Q11" s="80">
        <f>IF(AND(Индексы!B12,Результаты!B13=" ",Результаты!C13=" ",Результаты!D13=" ",Результаты!E13=" "),1,0)</f>
        <v>0</v>
      </c>
      <c r="R11" s="159"/>
      <c r="S11" s="159"/>
      <c r="T11" s="159"/>
      <c r="U11" s="159"/>
      <c r="V11" s="127"/>
      <c r="W11" s="159"/>
      <c r="X11" s="159"/>
      <c r="Y11" s="159"/>
      <c r="Z11" s="85"/>
      <c r="AA11" s="85"/>
      <c r="AB11" s="85"/>
      <c r="AC11" s="85"/>
      <c r="AD11" s="85"/>
      <c r="AE11" s="85"/>
      <c r="AF11" s="85"/>
      <c r="AG11" s="85"/>
      <c r="AH11" s="85"/>
      <c r="AI11" s="85"/>
      <c r="AJ11" s="85"/>
      <c r="AK11" s="85"/>
      <c r="AL11" s="85"/>
      <c r="AM11" s="95"/>
      <c r="AN11" s="95"/>
      <c r="AO11" s="95"/>
      <c r="AP11" s="95"/>
      <c r="AQ11" s="95"/>
    </row>
    <row r="12" spans="1:44" s="24" customFormat="1" ht="12" customHeight="1" x14ac:dyDescent="0.25">
      <c r="A12" s="254"/>
      <c r="B12" s="65" t="str">
        <f>"    - "&amp;Результаты!H25</f>
        <v xml:space="preserve">    - Ligustica</v>
      </c>
      <c r="C12" s="164">
        <f>Результаты!I25</f>
        <v>0</v>
      </c>
      <c r="D12" s="107"/>
      <c r="E12" s="67"/>
      <c r="F12" s="100"/>
      <c r="G12" s="100"/>
      <c r="H12" s="101"/>
      <c r="I12" s="101"/>
      <c r="J12" s="101"/>
      <c r="K12" s="101"/>
      <c r="L12" s="101"/>
      <c r="M12" s="101"/>
      <c r="N12" s="111"/>
      <c r="O12" s="111"/>
      <c r="P12" s="111"/>
      <c r="Q12" s="80">
        <f>IF(AND(Индексы!B13,Результаты!B14=" ",Результаты!C14=" ",Результаты!D14=" ",Результаты!E14=" "),1,0)</f>
        <v>0</v>
      </c>
      <c r="R12" s="159"/>
      <c r="S12" s="159"/>
      <c r="T12" s="159"/>
      <c r="U12" s="159"/>
      <c r="V12" s="127"/>
      <c r="W12" s="159"/>
      <c r="X12" s="159"/>
      <c r="Y12" s="159"/>
      <c r="Z12" s="85"/>
      <c r="AA12" s="85"/>
      <c r="AB12" s="85"/>
      <c r="AC12" s="85"/>
      <c r="AD12" s="85"/>
      <c r="AE12" s="85"/>
      <c r="AF12" s="85"/>
      <c r="AG12" s="85"/>
      <c r="AH12" s="85"/>
      <c r="AI12" s="85"/>
      <c r="AJ12" s="85"/>
      <c r="AK12" s="85"/>
      <c r="AL12" s="85"/>
      <c r="AM12" s="95"/>
      <c r="AN12" s="95"/>
      <c r="AO12" s="95"/>
      <c r="AP12" s="95"/>
      <c r="AQ12" s="95"/>
    </row>
    <row r="13" spans="1:44" s="24" customFormat="1" ht="12" customHeight="1" x14ac:dyDescent="0.25">
      <c r="A13" s="255"/>
      <c r="B13" s="65" t="str">
        <f>"    - "&amp;Результаты!H26</f>
        <v xml:space="preserve">    - Carnica</v>
      </c>
      <c r="C13" s="164">
        <f>Результаты!I26</f>
        <v>0</v>
      </c>
      <c r="D13" s="107"/>
      <c r="E13" s="67"/>
      <c r="F13" s="100"/>
      <c r="G13" s="100"/>
      <c r="H13" s="101"/>
      <c r="I13" s="101"/>
      <c r="J13" s="101"/>
      <c r="K13" s="101"/>
      <c r="L13" s="101"/>
      <c r="M13" s="101"/>
      <c r="N13" s="111"/>
      <c r="O13" s="111"/>
      <c r="P13" s="111"/>
      <c r="Q13" s="80">
        <f>IF(AND(Индексы!B14,Результаты!B15=" ",Результаты!C15=" ",Результаты!D15=" ",Результаты!E15=" "),1,0)</f>
        <v>0</v>
      </c>
      <c r="R13" s="159"/>
      <c r="S13" s="159"/>
      <c r="T13" s="159"/>
      <c r="U13" s="159"/>
      <c r="V13" s="127"/>
      <c r="W13" s="159"/>
      <c r="X13" s="159"/>
      <c r="Y13" s="159"/>
      <c r="Z13" s="85"/>
      <c r="AA13" s="85"/>
      <c r="AB13" s="85"/>
      <c r="AC13" s="85"/>
      <c r="AD13" s="85"/>
      <c r="AE13" s="85"/>
      <c r="AF13" s="85"/>
      <c r="AG13" s="85"/>
      <c r="AH13" s="85"/>
      <c r="AI13" s="85"/>
      <c r="AJ13" s="85"/>
      <c r="AK13" s="85"/>
      <c r="AL13" s="85"/>
      <c r="AM13" s="95"/>
      <c r="AN13" s="95"/>
      <c r="AO13" s="95"/>
      <c r="AP13" s="95"/>
      <c r="AQ13" s="95"/>
    </row>
    <row r="14" spans="1:44" s="25" customFormat="1" ht="12" customHeight="1" x14ac:dyDescent="0.25">
      <c r="A14" s="61" t="s">
        <v>50</v>
      </c>
      <c r="B14" s="62" t="s">
        <v>57</v>
      </c>
      <c r="C14" s="63" t="str">
        <f>IF(Результаты!K23=MAX(Результаты!K23:K26),Результаты!H23,IF(Результаты!K24=MAX(Результаты!K23:K26),Результаты!H24,IF(Результаты!K25=MAX(Результаты!K23:K26),Результаты!H25,Результаты!H26)))</f>
        <v>Mellifera</v>
      </c>
      <c r="D14" s="106"/>
      <c r="E14" s="63" t="s">
        <v>64</v>
      </c>
      <c r="F14" s="98"/>
      <c r="G14" s="98"/>
      <c r="H14" s="99"/>
      <c r="I14" s="99"/>
      <c r="J14" s="99"/>
      <c r="K14" s="99"/>
      <c r="L14" s="99"/>
      <c r="M14" s="99"/>
      <c r="N14" s="110"/>
      <c r="O14" s="110"/>
      <c r="P14" s="110"/>
      <c r="Q14" s="80">
        <f>IF(AND(Индексы!B15,Результаты!B16=" ",Результаты!C16=" ",Результаты!D16=" ",Результаты!E16=" "),1,0)</f>
        <v>0</v>
      </c>
      <c r="R14" s="110"/>
      <c r="S14" s="110"/>
      <c r="T14" s="110"/>
      <c r="U14" s="110"/>
      <c r="V14" s="126"/>
      <c r="W14" s="110"/>
      <c r="X14" s="110"/>
      <c r="Y14" s="110"/>
      <c r="Z14" s="84"/>
      <c r="AA14" s="84"/>
      <c r="AB14" s="84"/>
      <c r="AC14" s="84"/>
      <c r="AD14" s="84"/>
      <c r="AE14" s="84"/>
      <c r="AF14" s="84"/>
      <c r="AG14" s="84"/>
      <c r="AH14" s="84"/>
      <c r="AI14" s="84"/>
      <c r="AJ14" s="84"/>
      <c r="AK14" s="84"/>
      <c r="AL14" s="84"/>
      <c r="AM14" s="94"/>
      <c r="AN14" s="94"/>
      <c r="AO14" s="94"/>
      <c r="AP14" s="94"/>
      <c r="AQ14" s="94"/>
    </row>
    <row r="15" spans="1:44" s="25" customFormat="1" ht="42.6" customHeight="1" x14ac:dyDescent="0.25">
      <c r="A15" s="61" t="s">
        <v>51</v>
      </c>
      <c r="B15" s="62" t="s">
        <v>58</v>
      </c>
      <c r="C15" s="64">
        <f>ROUND(IF(Результаты!I23=MAX(Результаты!I23:I26),Результаты!K23,IF(Результаты!I24=MAX(Результаты!I23:I26),Результаты!K24,IF(Результаты!I25=MAX(Результаты!I23:I26),Результаты!K25,Результаты!K26))),3)</f>
        <v>1</v>
      </c>
      <c r="D15" s="106">
        <f>5+ROUNDUP((C15-100%)/10%,0)</f>
        <v>5</v>
      </c>
      <c r="E15" s="63" t="s">
        <v>117</v>
      </c>
      <c r="F15" s="98"/>
      <c r="G15" s="98"/>
      <c r="H15" s="99"/>
      <c r="I15" s="99"/>
      <c r="J15" s="99"/>
      <c r="K15" s="99"/>
      <c r="L15" s="99"/>
      <c r="M15" s="99"/>
      <c r="N15" s="110"/>
      <c r="O15" s="110"/>
      <c r="P15" s="110"/>
      <c r="Q15" s="80">
        <f>IF(AND(Индексы!B16,Результаты!B17=" ",Результаты!C17=" ",Результаты!D17=" ",Результаты!E17=" "),1,0)</f>
        <v>0</v>
      </c>
      <c r="R15" s="110"/>
      <c r="S15" s="110"/>
      <c r="T15" s="110"/>
      <c r="U15" s="110"/>
      <c r="V15" s="126"/>
      <c r="W15" s="110"/>
      <c r="X15" s="110"/>
      <c r="Y15" s="110"/>
      <c r="Z15" s="84"/>
      <c r="AA15" s="84"/>
      <c r="AB15" s="84"/>
      <c r="AC15" s="84"/>
      <c r="AD15" s="84"/>
      <c r="AE15" s="84"/>
      <c r="AF15" s="84"/>
      <c r="AG15" s="84"/>
      <c r="AH15" s="84"/>
      <c r="AI15" s="84"/>
      <c r="AJ15" s="84"/>
      <c r="AK15" s="84"/>
      <c r="AL15" s="84"/>
      <c r="AM15" s="94"/>
      <c r="AN15" s="94"/>
      <c r="AO15" s="94"/>
      <c r="AP15" s="94"/>
      <c r="AQ15" s="94"/>
    </row>
    <row r="16" spans="1:44" s="25" customFormat="1" ht="81.599999999999994" customHeight="1" x14ac:dyDescent="0.25">
      <c r="A16" s="246" t="s">
        <v>52</v>
      </c>
      <c r="B16" s="62" t="s">
        <v>59</v>
      </c>
      <c r="C16" s="63"/>
      <c r="D16" s="106"/>
      <c r="E16" s="68" t="s">
        <v>118</v>
      </c>
      <c r="F16" s="98"/>
      <c r="G16" s="98"/>
      <c r="H16" s="99"/>
      <c r="I16" s="99"/>
      <c r="J16" s="99"/>
      <c r="K16" s="99"/>
      <c r="L16" s="99"/>
      <c r="M16" s="99"/>
      <c r="N16" s="110"/>
      <c r="O16" s="110"/>
      <c r="P16" s="110"/>
      <c r="Q16" s="80">
        <f>IF(AND(Индексы!B17,Результаты!B18=" ",Результаты!C18=" ",Результаты!D18=" ",Результаты!E18=" "),1,0)</f>
        <v>0</v>
      </c>
      <c r="R16" s="110"/>
      <c r="S16" s="110"/>
      <c r="T16" s="110"/>
      <c r="U16" s="110"/>
      <c r="V16" s="126"/>
      <c r="W16" s="110"/>
      <c r="X16" s="110"/>
      <c r="Y16" s="110"/>
      <c r="Z16" s="84"/>
      <c r="AA16" s="84"/>
      <c r="AB16" s="84"/>
      <c r="AC16" s="84"/>
      <c r="AD16" s="84"/>
      <c r="AE16" s="84"/>
      <c r="AF16" s="84"/>
      <c r="AG16" s="84"/>
      <c r="AH16" s="84"/>
      <c r="AI16" s="84"/>
      <c r="AJ16" s="84"/>
      <c r="AK16" s="84"/>
      <c r="AL16" s="84"/>
      <c r="AM16" s="94"/>
      <c r="AN16" s="94"/>
      <c r="AO16" s="94"/>
      <c r="AP16" s="94"/>
      <c r="AQ16" s="94"/>
    </row>
    <row r="17" spans="1:43" s="24" customFormat="1" ht="12" customHeight="1" x14ac:dyDescent="0.25">
      <c r="A17" s="254"/>
      <c r="B17" s="65" t="s">
        <v>45</v>
      </c>
      <c r="C17" s="63" t="str">
        <f>IF(Индексы!B104&lt;12.5%,"идеальная",IF(Индексы!B104&gt;20,"не обеспечена","нормальная"))</f>
        <v>идеальная</v>
      </c>
      <c r="D17" s="108">
        <f>IF(C17="идеальная",2,IF(C17="нормальная",1,0))</f>
        <v>2</v>
      </c>
      <c r="E17" s="70" t="str">
        <f>"Квар = "&amp;Индексы!B104*100&amp;"%"</f>
        <v>Квар = 12,3%</v>
      </c>
      <c r="F17" s="100"/>
      <c r="G17" s="100"/>
      <c r="H17" s="101"/>
      <c r="I17" s="101"/>
      <c r="J17" s="101"/>
      <c r="K17" s="101"/>
      <c r="L17" s="101"/>
      <c r="M17" s="101"/>
      <c r="N17" s="111"/>
      <c r="O17" s="111"/>
      <c r="P17" s="111"/>
      <c r="Q17" s="80">
        <f>IF(AND(Индексы!B18,Результаты!B19=" ",Результаты!C19=" ",Результаты!D19=" ",Результаты!E19=" "),1,0)</f>
        <v>0</v>
      </c>
      <c r="R17" s="128"/>
      <c r="S17" s="162"/>
      <c r="T17" s="162"/>
      <c r="U17" s="162"/>
      <c r="V17" s="129"/>
      <c r="W17" s="159"/>
      <c r="X17" s="159"/>
      <c r="Y17" s="159"/>
      <c r="Z17" s="85"/>
      <c r="AA17" s="85"/>
      <c r="AB17" s="85"/>
      <c r="AC17" s="85"/>
      <c r="AD17" s="85"/>
      <c r="AE17" s="85"/>
      <c r="AF17" s="85"/>
      <c r="AG17" s="85"/>
      <c r="AH17" s="85"/>
      <c r="AI17" s="85"/>
      <c r="AJ17" s="85"/>
      <c r="AK17" s="85"/>
      <c r="AL17" s="85"/>
      <c r="AM17" s="95"/>
      <c r="AN17" s="95"/>
      <c r="AO17" s="95"/>
      <c r="AP17" s="95"/>
      <c r="AQ17" s="95"/>
    </row>
    <row r="18" spans="1:43" s="24" customFormat="1" ht="24" customHeight="1" x14ac:dyDescent="0.25">
      <c r="A18" s="254"/>
      <c r="B18" s="65" t="s">
        <v>46</v>
      </c>
      <c r="C18" s="63"/>
      <c r="D18" s="108"/>
      <c r="E18" s="69" t="str">
        <f>"Квар = "&amp;Индексы!C104*100&amp;"%"&amp;". Не анализируется, т.к. МО может быть близко к нулю"</f>
        <v>Квар = 24%. Не анализируется, т.к. МО может быть близко к нулю</v>
      </c>
      <c r="F18" s="100"/>
      <c r="G18" s="100"/>
      <c r="H18" s="101"/>
      <c r="I18" s="101"/>
      <c r="J18" s="101"/>
      <c r="K18" s="101"/>
      <c r="L18" s="101"/>
      <c r="M18" s="101"/>
      <c r="N18" s="111"/>
      <c r="O18" s="111"/>
      <c r="P18" s="111"/>
      <c r="Q18" s="80">
        <f>IF(AND(Индексы!B19,Результаты!B20=" ",Результаты!C20=" ",Результаты!D20=" ",Результаты!E20=" "),1,0)</f>
        <v>0</v>
      </c>
      <c r="R18" s="162"/>
      <c r="S18" s="162"/>
      <c r="T18" s="162"/>
      <c r="U18" s="162"/>
      <c r="V18" s="129"/>
      <c r="W18" s="159"/>
      <c r="X18" s="159"/>
      <c r="Y18" s="159"/>
      <c r="Z18" s="85"/>
      <c r="AA18" s="85"/>
      <c r="AB18" s="85"/>
      <c r="AC18" s="85"/>
      <c r="AD18" s="85"/>
      <c r="AE18" s="85"/>
      <c r="AF18" s="85"/>
      <c r="AG18" s="85"/>
      <c r="AH18" s="85"/>
      <c r="AI18" s="85"/>
      <c r="AJ18" s="85"/>
      <c r="AK18" s="85"/>
      <c r="AL18" s="85"/>
      <c r="AM18" s="95"/>
      <c r="AN18" s="95"/>
      <c r="AO18" s="95"/>
      <c r="AP18" s="95"/>
      <c r="AQ18" s="95"/>
    </row>
    <row r="19" spans="1:43" s="24" customFormat="1" ht="12" customHeight="1" x14ac:dyDescent="0.25">
      <c r="A19" s="255"/>
      <c r="B19" s="65" t="s">
        <v>47</v>
      </c>
      <c r="C19" s="63" t="str">
        <f>IF(Индексы!D104&lt;6.5%,"идеальная",IF(Индексы!D104&gt;7.5%,"не обеспечена","нормальная"))</f>
        <v>идеальная</v>
      </c>
      <c r="D19" s="108">
        <f>IF(C19="идеальная",2,IF(C19="нормальная",1,0))</f>
        <v>2</v>
      </c>
      <c r="E19" s="69" t="str">
        <f>"Квар = "&amp;Индексы!D104*100&amp;"%"</f>
        <v>Квар = 5,2%</v>
      </c>
      <c r="F19" s="100"/>
      <c r="G19" s="100"/>
      <c r="H19" s="101"/>
      <c r="I19" s="101"/>
      <c r="J19" s="101"/>
      <c r="K19" s="101"/>
      <c r="L19" s="101"/>
      <c r="M19" s="101"/>
      <c r="N19" s="111"/>
      <c r="O19" s="111"/>
      <c r="P19" s="111"/>
      <c r="Q19" s="80">
        <f>IF(AND(Индексы!B20,Результаты!B21=" ",Результаты!C21=" ",Результаты!D21=" ",Результаты!E21=" "),1,0)</f>
        <v>0</v>
      </c>
      <c r="R19" s="162"/>
      <c r="S19" s="162"/>
      <c r="T19" s="162"/>
      <c r="U19" s="162"/>
      <c r="V19" s="129"/>
      <c r="W19" s="159"/>
      <c r="X19" s="159"/>
      <c r="Y19" s="159"/>
      <c r="Z19" s="85"/>
      <c r="AA19" s="85"/>
      <c r="AB19" s="85"/>
      <c r="AC19" s="85"/>
      <c r="AD19" s="85"/>
      <c r="AE19" s="85"/>
      <c r="AF19" s="85"/>
      <c r="AG19" s="85"/>
      <c r="AH19" s="85"/>
      <c r="AI19" s="85"/>
      <c r="AJ19" s="85"/>
      <c r="AK19" s="85"/>
      <c r="AL19" s="85"/>
      <c r="AM19" s="95"/>
      <c r="AN19" s="95"/>
      <c r="AO19" s="95"/>
      <c r="AP19" s="95"/>
      <c r="AQ19" s="95"/>
    </row>
    <row r="20" spans="1:43" s="25" customFormat="1" ht="85.8" customHeight="1" x14ac:dyDescent="0.25">
      <c r="A20" s="246" t="s">
        <v>53</v>
      </c>
      <c r="B20" s="62" t="s">
        <v>119</v>
      </c>
      <c r="C20" s="63"/>
      <c r="D20" s="69"/>
      <c r="E20" s="71" t="s">
        <v>120</v>
      </c>
      <c r="F20" s="98"/>
      <c r="G20" s="98"/>
      <c r="H20" s="99"/>
      <c r="I20" s="99"/>
      <c r="J20" s="99"/>
      <c r="K20" s="99"/>
      <c r="L20" s="99"/>
      <c r="M20" s="99"/>
      <c r="N20" s="110"/>
      <c r="O20" s="110"/>
      <c r="P20" s="110"/>
      <c r="Q20" s="80">
        <f>IF(AND(Индексы!B21,Результаты!B22=" ",Результаты!C22=" ",Результаты!D22=" ",Результаты!E22=" "),1,0)</f>
        <v>0</v>
      </c>
      <c r="R20" s="244" t="s">
        <v>111</v>
      </c>
      <c r="S20" s="245"/>
      <c r="T20" s="245"/>
      <c r="U20" s="245"/>
      <c r="V20" s="245"/>
      <c r="W20" s="245"/>
      <c r="X20" s="110"/>
      <c r="Y20" s="110"/>
      <c r="Z20" s="84"/>
      <c r="AA20" s="84"/>
      <c r="AB20" s="84"/>
      <c r="AC20" s="84"/>
      <c r="AD20" s="84"/>
      <c r="AE20" s="84"/>
      <c r="AF20" s="84"/>
      <c r="AG20" s="84"/>
      <c r="AH20" s="84"/>
      <c r="AI20" s="84"/>
      <c r="AJ20" s="84"/>
      <c r="AK20" s="84"/>
      <c r="AL20" s="84"/>
      <c r="AM20" s="94"/>
      <c r="AN20" s="94"/>
      <c r="AO20" s="94"/>
      <c r="AP20" s="94"/>
      <c r="AQ20" s="94"/>
    </row>
    <row r="21" spans="1:43" s="25" customFormat="1" ht="12" customHeight="1" x14ac:dyDescent="0.25">
      <c r="A21" s="247"/>
      <c r="B21" s="65" t="s">
        <v>45</v>
      </c>
      <c r="C21" s="63" t="str">
        <f ca="1">OFFSET(Q29,0,R25+IF(R25&gt;2,1,0)+IF(R25&gt;3,1,0))</f>
        <v>Отсутствует</v>
      </c>
      <c r="D21" s="108">
        <f ca="1">IF(C21="Отсутствует",3,IF(C21="Несущественная",2,IF(C21="В допустимых пределах",1,0)))</f>
        <v>3</v>
      </c>
      <c r="E21" s="71"/>
      <c r="F21" s="98"/>
      <c r="G21" s="98"/>
      <c r="H21" s="99"/>
      <c r="I21" s="99"/>
      <c r="J21" s="99"/>
      <c r="K21" s="99"/>
      <c r="L21" s="99"/>
      <c r="M21" s="99"/>
      <c r="N21" s="110"/>
      <c r="O21" s="110"/>
      <c r="P21" s="110"/>
      <c r="Q21" s="80"/>
      <c r="R21" s="160"/>
      <c r="S21" s="161"/>
      <c r="T21" s="161"/>
      <c r="U21" s="161"/>
      <c r="V21" s="161"/>
      <c r="W21" s="161"/>
      <c r="X21" s="110"/>
      <c r="Y21" s="110"/>
      <c r="Z21" s="84"/>
      <c r="AA21" s="84"/>
      <c r="AB21" s="84"/>
      <c r="AC21" s="84"/>
      <c r="AD21" s="84"/>
      <c r="AE21" s="84"/>
      <c r="AF21" s="84"/>
      <c r="AG21" s="84"/>
      <c r="AH21" s="84"/>
      <c r="AI21" s="84"/>
      <c r="AJ21" s="84"/>
      <c r="AK21" s="84"/>
      <c r="AL21" s="84"/>
      <c r="AM21" s="94"/>
      <c r="AN21" s="94"/>
      <c r="AO21" s="94"/>
      <c r="AP21" s="94"/>
      <c r="AQ21" s="94"/>
    </row>
    <row r="22" spans="1:43" s="25" customFormat="1" ht="12" customHeight="1" x14ac:dyDescent="0.25">
      <c r="A22" s="247"/>
      <c r="B22" s="65" t="s">
        <v>46</v>
      </c>
      <c r="C22" s="63" t="str">
        <f ca="1">OFFSET(Q41,0,R25+IF(R25&gt;2,1,0)+IF(R25&gt;3,1,0))</f>
        <v>Отсутствует</v>
      </c>
      <c r="D22" s="108">
        <f ca="1">IF(C22="Отсутствует",3,IF(C22="Несущественная",2,IF(C22="В допустимых пределах",1,0)))</f>
        <v>3</v>
      </c>
      <c r="E22" s="71"/>
      <c r="F22" s="98"/>
      <c r="G22" s="98"/>
      <c r="H22" s="99"/>
      <c r="I22" s="99"/>
      <c r="J22" s="99"/>
      <c r="K22" s="99"/>
      <c r="L22" s="99"/>
      <c r="M22" s="99"/>
      <c r="N22" s="110"/>
      <c r="O22" s="110"/>
      <c r="P22" s="110"/>
      <c r="Q22" s="80"/>
      <c r="R22" s="160"/>
      <c r="S22" s="161"/>
      <c r="T22" s="161"/>
      <c r="U22" s="161"/>
      <c r="V22" s="161"/>
      <c r="W22" s="161"/>
      <c r="X22" s="110"/>
      <c r="Y22" s="110"/>
      <c r="Z22" s="84"/>
      <c r="AA22" s="84"/>
      <c r="AB22" s="84"/>
      <c r="AC22" s="84"/>
      <c r="AD22" s="84"/>
      <c r="AE22" s="84"/>
      <c r="AF22" s="84"/>
      <c r="AG22" s="84"/>
      <c r="AH22" s="84"/>
      <c r="AI22" s="84"/>
      <c r="AJ22" s="84"/>
      <c r="AK22" s="84"/>
      <c r="AL22" s="84"/>
      <c r="AM22" s="94"/>
      <c r="AN22" s="94"/>
      <c r="AO22" s="94"/>
      <c r="AP22" s="94"/>
      <c r="AQ22" s="94"/>
    </row>
    <row r="23" spans="1:43" s="25" customFormat="1" ht="12" customHeight="1" x14ac:dyDescent="0.25">
      <c r="A23" s="248"/>
      <c r="B23" s="65" t="s">
        <v>47</v>
      </c>
      <c r="C23" s="63" t="str">
        <f ca="1">OFFSET(Q53,0,R25+IF(R25&gt;2,1,0)+IF(R25&gt;3,1,0))</f>
        <v>Отсутствует</v>
      </c>
      <c r="D23" s="108">
        <f ca="1">IF(C23="Отсутствует",3,IF(C23="Несущественная",2,IF(C23="В допустимых пределах",1,0)))</f>
        <v>3</v>
      </c>
      <c r="E23" s="71"/>
      <c r="F23" s="98"/>
      <c r="G23" s="98"/>
      <c r="H23" s="99"/>
      <c r="I23" s="99"/>
      <c r="J23" s="99"/>
      <c r="K23" s="99"/>
      <c r="L23" s="99"/>
      <c r="M23" s="99"/>
      <c r="N23" s="110"/>
      <c r="O23" s="110"/>
      <c r="P23" s="110"/>
      <c r="Q23" s="80"/>
      <c r="R23" s="160"/>
      <c r="S23" s="161"/>
      <c r="T23" s="161"/>
      <c r="U23" s="161"/>
      <c r="V23" s="161"/>
      <c r="W23" s="161"/>
      <c r="X23" s="110"/>
      <c r="Y23" s="110"/>
      <c r="Z23" s="84"/>
      <c r="AA23" s="84"/>
      <c r="AB23" s="84"/>
      <c r="AC23" s="84"/>
      <c r="AD23" s="84"/>
      <c r="AE23" s="84"/>
      <c r="AF23" s="84"/>
      <c r="AG23" s="84"/>
      <c r="AH23" s="84"/>
      <c r="AI23" s="84"/>
      <c r="AJ23" s="84"/>
      <c r="AK23" s="84"/>
      <c r="AL23" s="84"/>
      <c r="AM23" s="94"/>
      <c r="AN23" s="94"/>
      <c r="AO23" s="94"/>
      <c r="AP23" s="94"/>
      <c r="AQ23" s="94"/>
    </row>
    <row r="24" spans="1:43" s="25" customFormat="1" ht="12" customHeight="1" x14ac:dyDescent="0.25">
      <c r="A24" s="165">
        <v>9</v>
      </c>
      <c r="B24" s="62" t="s">
        <v>115</v>
      </c>
      <c r="C24" s="63"/>
      <c r="D24" s="109">
        <f ca="1">SUM(D4:D23)</f>
        <v>18</v>
      </c>
      <c r="E24" s="63" t="s">
        <v>122</v>
      </c>
      <c r="F24" s="98"/>
      <c r="G24" s="98"/>
      <c r="H24" s="99"/>
      <c r="I24" s="99"/>
      <c r="J24" s="99"/>
      <c r="K24" s="99"/>
      <c r="L24" s="99"/>
      <c r="M24" s="99"/>
      <c r="N24" s="110"/>
      <c r="O24" s="110"/>
      <c r="P24" s="110"/>
      <c r="Q24" s="80"/>
      <c r="R24" s="160"/>
      <c r="S24" s="161"/>
      <c r="T24" s="161"/>
      <c r="U24" s="161"/>
      <c r="V24" s="161"/>
      <c r="W24" s="161"/>
      <c r="X24" s="110"/>
      <c r="Y24" s="110"/>
      <c r="Z24" s="84"/>
      <c r="AA24" s="84"/>
      <c r="AB24" s="84"/>
      <c r="AC24" s="84"/>
      <c r="AD24" s="84"/>
      <c r="AE24" s="84"/>
      <c r="AF24" s="84"/>
      <c r="AG24" s="84"/>
      <c r="AH24" s="84"/>
      <c r="AI24" s="84"/>
      <c r="AJ24" s="84"/>
      <c r="AK24" s="84"/>
      <c r="AL24" s="84"/>
      <c r="AM24" s="94"/>
      <c r="AN24" s="94"/>
      <c r="AO24" s="94"/>
      <c r="AP24" s="94"/>
      <c r="AQ24" s="94"/>
    </row>
    <row r="25" spans="1:43" s="25" customFormat="1" ht="12" customHeight="1" x14ac:dyDescent="0.25">
      <c r="A25" s="246" t="s">
        <v>121</v>
      </c>
      <c r="B25" s="62" t="s">
        <v>60</v>
      </c>
      <c r="C25" s="164"/>
      <c r="D25" s="107"/>
      <c r="E25" s="63"/>
      <c r="F25" s="98"/>
      <c r="G25" s="98"/>
      <c r="H25" s="99"/>
      <c r="I25" s="99"/>
      <c r="J25" s="99"/>
      <c r="K25" s="99"/>
      <c r="L25" s="99"/>
      <c r="M25" s="99"/>
      <c r="N25" s="110"/>
      <c r="O25" s="110"/>
      <c r="P25" s="110"/>
      <c r="Q25" s="80">
        <f>IF(AND(Индексы!B22,Результаты!B23=" ",Результаты!C23=" ",Результаты!D23=" ",Результаты!E23=" "),1,0)</f>
        <v>0</v>
      </c>
      <c r="R25" s="130">
        <f>MATCH(C14,Результаты!H23:H26,0)</f>
        <v>1</v>
      </c>
      <c r="S25" s="131" t="s">
        <v>79</v>
      </c>
      <c r="T25" s="110"/>
      <c r="U25" s="110"/>
      <c r="V25" s="126"/>
      <c r="W25" s="110"/>
      <c r="X25" s="110"/>
      <c r="Y25" s="110"/>
      <c r="Z25" s="84"/>
      <c r="AA25" s="84"/>
      <c r="AB25" s="84"/>
      <c r="AC25" s="84"/>
      <c r="AD25" s="84"/>
      <c r="AE25" s="84"/>
      <c r="AF25" s="84"/>
      <c r="AG25" s="84"/>
      <c r="AH25" s="84"/>
      <c r="AI25" s="84"/>
      <c r="AJ25" s="84"/>
      <c r="AK25" s="84"/>
      <c r="AL25" s="84"/>
      <c r="AM25" s="94"/>
      <c r="AN25" s="94"/>
      <c r="AO25" s="94"/>
      <c r="AP25" s="94"/>
      <c r="AQ25" s="94"/>
    </row>
    <row r="26" spans="1:43" s="24" customFormat="1" ht="12" customHeight="1" x14ac:dyDescent="0.25">
      <c r="A26" s="254"/>
      <c r="B26" s="62" t="s">
        <v>61</v>
      </c>
      <c r="C26" s="63" t="str">
        <f ca="1">IF(D24&gt;=17,"пригодна","не пригодна")</f>
        <v>пригодна</v>
      </c>
      <c r="D26" s="108"/>
      <c r="E26" s="63" t="s">
        <v>123</v>
      </c>
      <c r="F26" s="102"/>
      <c r="G26" s="100"/>
      <c r="H26" s="101"/>
      <c r="I26" s="101"/>
      <c r="J26" s="101"/>
      <c r="K26" s="101"/>
      <c r="L26" s="101"/>
      <c r="M26" s="101"/>
      <c r="N26" s="111"/>
      <c r="O26" s="111"/>
      <c r="P26" s="111"/>
      <c r="Q26" s="80">
        <f>IF(AND(Индексы!B23,Результаты!B24=" ",Результаты!C24=" ",Результаты!D24=" ",Результаты!E24=" "),1,0)</f>
        <v>0</v>
      </c>
      <c r="R26" s="162" t="s">
        <v>75</v>
      </c>
      <c r="S26" s="249" t="s">
        <v>76</v>
      </c>
      <c r="T26" s="250"/>
      <c r="U26" s="249" t="s">
        <v>77</v>
      </c>
      <c r="V26" s="250"/>
      <c r="W26" s="162" t="s">
        <v>78</v>
      </c>
      <c r="X26" s="159"/>
      <c r="Y26" s="159"/>
      <c r="Z26" s="85"/>
      <c r="AA26" s="85"/>
      <c r="AB26" s="85"/>
      <c r="AC26" s="85"/>
      <c r="AD26" s="85"/>
      <c r="AE26" s="85"/>
      <c r="AF26" s="85"/>
      <c r="AG26" s="85"/>
      <c r="AH26" s="85"/>
      <c r="AI26" s="85"/>
      <c r="AJ26" s="85"/>
      <c r="AK26" s="85"/>
      <c r="AL26" s="85"/>
      <c r="AM26" s="95"/>
      <c r="AN26" s="95"/>
      <c r="AO26" s="95"/>
      <c r="AP26" s="95"/>
      <c r="AQ26" s="95"/>
    </row>
    <row r="27" spans="1:43" s="24" customFormat="1" ht="30.6" customHeight="1" x14ac:dyDescent="0.25">
      <c r="A27" s="254"/>
      <c r="B27" s="62" t="s">
        <v>43</v>
      </c>
      <c r="C27" s="63" t="str">
        <f ca="1">IF(D24&gt;=15,"пригодна","не пригодна")</f>
        <v>пригодна</v>
      </c>
      <c r="D27" s="108"/>
      <c r="E27" s="63" t="s">
        <v>124</v>
      </c>
      <c r="F27" s="102"/>
      <c r="G27" s="100"/>
      <c r="H27" s="101"/>
      <c r="I27" s="101"/>
      <c r="J27" s="101"/>
      <c r="K27" s="101"/>
      <c r="L27" s="101"/>
      <c r="M27" s="101"/>
      <c r="N27" s="111"/>
      <c r="O27" s="111"/>
      <c r="P27" s="111"/>
      <c r="Q27" s="80">
        <f>IF(AND(Индексы!B24,Результаты!B25=" ",Результаты!C25=" ",Результаты!D25=" ",Результаты!E25=" "),1,0)</f>
        <v>0</v>
      </c>
      <c r="R27" s="162">
        <f ca="1">R34/ROUND(COUNTIF(Индексы!$B$2:$B$101,"&gt;0"),3)*100</f>
        <v>0</v>
      </c>
      <c r="S27" s="162">
        <f ca="1">(S34+T34)/ROUND(COUNTIF(Индексы!$B$2:$B$101,"&gt;0"),3)*100</f>
        <v>23.076923076923077</v>
      </c>
      <c r="T27" s="162"/>
      <c r="U27" s="129">
        <f ca="1">(U34+V34)/ROUND(COUNTIF(Индексы!$B$2:$B$101,"&gt;0"),3)*100</f>
        <v>84.615384615384613</v>
      </c>
      <c r="V27" s="129"/>
      <c r="W27" s="162">
        <f ca="1">W34/ROUND(COUNTIF(Индексы!$B$2:$B$101,"&gt;0"),3)*100</f>
        <v>84.615384615384613</v>
      </c>
      <c r="X27" s="132" t="s">
        <v>80</v>
      </c>
      <c r="Y27" s="159"/>
      <c r="Z27" s="85"/>
      <c r="AA27" s="85"/>
      <c r="AB27" s="85"/>
      <c r="AC27" s="85"/>
      <c r="AD27" s="85"/>
      <c r="AE27" s="85"/>
      <c r="AF27" s="85"/>
      <c r="AG27" s="85"/>
      <c r="AH27" s="85"/>
      <c r="AI27" s="85"/>
      <c r="AJ27" s="85"/>
      <c r="AK27" s="85"/>
      <c r="AL27" s="85"/>
      <c r="AM27" s="95"/>
      <c r="AN27" s="95"/>
      <c r="AO27" s="95"/>
      <c r="AP27" s="95"/>
      <c r="AQ27" s="95"/>
    </row>
    <row r="28" spans="1:43" s="24" customFormat="1" ht="12" customHeight="1" x14ac:dyDescent="0.25">
      <c r="A28" s="254"/>
      <c r="B28" s="62" t="s">
        <v>42</v>
      </c>
      <c r="C28" s="63" t="str">
        <f ca="1">IF(D24&gt;=10,"пригодна","не пригодна")</f>
        <v>пригодна</v>
      </c>
      <c r="D28" s="108"/>
      <c r="E28" s="63" t="s">
        <v>126</v>
      </c>
      <c r="F28" s="102"/>
      <c r="G28" s="100"/>
      <c r="H28" s="101"/>
      <c r="I28" s="101"/>
      <c r="J28" s="101"/>
      <c r="K28" s="101"/>
      <c r="L28" s="101"/>
      <c r="M28" s="101"/>
      <c r="N28" s="111"/>
      <c r="O28" s="111"/>
      <c r="P28" s="111"/>
      <c r="Q28" s="80">
        <f>IF(AND(Индексы!B25,Результаты!B26=" ",Результаты!C26=" ",Результаты!D26=" ",Результаты!E26=" "),1,0)</f>
        <v>0</v>
      </c>
      <c r="R28" s="162">
        <f ca="1">R35/ROUND(COUNTIF(Индексы!$B$2:$B$101,"&gt;0"),3)*100</f>
        <v>0</v>
      </c>
      <c r="S28" s="162">
        <f ca="1">(S35+T35)/ROUND(COUNTIF(Индексы!$B$2:$B$101,"&gt;0"),3)*100</f>
        <v>61.53846153846154</v>
      </c>
      <c r="T28" s="162"/>
      <c r="U28" s="129">
        <f ca="1">(U35+V35)/ROUND(COUNTIF(Индексы!$B$2:$B$101,"&gt;0"),3)*100</f>
        <v>15.384615384615385</v>
      </c>
      <c r="V28" s="129"/>
      <c r="W28" s="162">
        <f ca="1">W35/ROUND(COUNTIF(Индексы!$B$2:$B$101,"&gt;0"),3)*100</f>
        <v>15.384615384615385</v>
      </c>
      <c r="X28" s="133" t="s">
        <v>81</v>
      </c>
      <c r="Y28" s="159"/>
      <c r="Z28" s="85"/>
      <c r="AA28" s="85"/>
      <c r="AB28" s="85"/>
      <c r="AC28" s="85"/>
      <c r="AD28" s="85"/>
      <c r="AE28" s="85"/>
      <c r="AF28" s="85"/>
      <c r="AG28" s="85"/>
      <c r="AH28" s="85"/>
      <c r="AI28" s="85"/>
      <c r="AJ28" s="85"/>
      <c r="AK28" s="85"/>
      <c r="AL28" s="85"/>
      <c r="AM28" s="95"/>
      <c r="AN28" s="95"/>
      <c r="AO28" s="95"/>
      <c r="AP28" s="95"/>
      <c r="AQ28" s="95"/>
    </row>
    <row r="29" spans="1:43" s="24" customFormat="1" ht="12" customHeight="1" x14ac:dyDescent="0.25">
      <c r="A29" s="255"/>
      <c r="B29" s="62" t="s">
        <v>44</v>
      </c>
      <c r="C29" s="63" t="str">
        <f ca="1">IF(D24&gt;=5,"пригодна","не пригодна")</f>
        <v>пригодна</v>
      </c>
      <c r="D29" s="108"/>
      <c r="E29" s="63" t="s">
        <v>125</v>
      </c>
      <c r="F29" s="102"/>
      <c r="G29" s="100"/>
      <c r="H29" s="101"/>
      <c r="I29" s="101"/>
      <c r="J29" s="101"/>
      <c r="K29" s="101"/>
      <c r="L29" s="101"/>
      <c r="M29" s="101"/>
      <c r="N29" s="111"/>
      <c r="O29" s="111"/>
      <c r="P29" s="111"/>
      <c r="Q29" s="80">
        <f>IF(AND(Индексы!B26,Результаты!B27=" ",Результаты!C27=" ",Результаты!D27=" ",Результаты!E27=" "),1,0)</f>
        <v>0</v>
      </c>
      <c r="R29" s="134" t="str">
        <f ca="1">IF(OR(R27&gt;2,R28&gt;15),"Гибрид",IF(OR(R27&gt;2*0.5,R28&gt;15*0.5),"В допустимых пределах",IF(OR(R27&gt;0,R28&gt;0),"Несущественная","Отсутствует")))</f>
        <v>Отсутствует</v>
      </c>
      <c r="S29" s="134" t="str">
        <f ca="1">IF(OR(S27&gt;2,S28&gt;15),"Гибрид",IF(OR(S27&gt;2*0.5,S28&gt;15*0.5),"В допустимых пределах",IF(OR(S27&gt;0,S28&gt;0),"Несущественная","Отсутствует")))</f>
        <v>Гибрид</v>
      </c>
      <c r="T29" s="134"/>
      <c r="U29" s="134" t="str">
        <f ca="1">IF(OR(U27&gt;2,U28&gt;15),"Гибрид",IF(OR(U27&gt;2*0.5,U28&gt;15*0.5),"В допустимых пределах",IF(OR(U27&gt;0,U28&gt;0),"Несущественная","Отсутствует")))</f>
        <v>Гибрид</v>
      </c>
      <c r="V29" s="134"/>
      <c r="W29" s="134" t="str">
        <f ca="1">IF(OR(W27&gt;2,W28&gt;15),"Гибрид",IF(OR(W27&gt;2*0.5,W28&gt;15*0.5),"В допустимых пределах",IF(OR(W27&gt;0,W28&gt;0),"Несущественная","Отсутствует")))</f>
        <v>Гибрид</v>
      </c>
      <c r="X29" s="159"/>
      <c r="Y29" s="159"/>
      <c r="Z29" s="85"/>
      <c r="AA29" s="85"/>
      <c r="AB29" s="85"/>
      <c r="AC29" s="85"/>
      <c r="AD29" s="85"/>
      <c r="AE29" s="85"/>
      <c r="AF29" s="85"/>
      <c r="AG29" s="85"/>
      <c r="AH29" s="85"/>
      <c r="AI29" s="85"/>
      <c r="AJ29" s="85"/>
      <c r="AK29" s="85"/>
      <c r="AL29" s="85"/>
      <c r="AM29" s="95"/>
      <c r="AN29" s="95"/>
      <c r="AO29" s="95"/>
      <c r="AP29" s="95"/>
      <c r="AQ29" s="95"/>
    </row>
    <row r="30" spans="1:43" s="19" customFormat="1" ht="99.6" customHeight="1" x14ac:dyDescent="0.25">
      <c r="A30" s="251" t="s">
        <v>62</v>
      </c>
      <c r="B30" s="251"/>
      <c r="C30" s="251"/>
      <c r="D30" s="251"/>
      <c r="E30" s="251"/>
      <c r="F30" s="96"/>
      <c r="G30" s="96"/>
      <c r="H30" s="97"/>
      <c r="I30" s="97"/>
      <c r="J30" s="97"/>
      <c r="K30" s="97"/>
      <c r="L30" s="97"/>
      <c r="M30" s="97"/>
      <c r="N30" s="79"/>
      <c r="O30" s="79"/>
      <c r="P30" s="79"/>
      <c r="Q30" s="80">
        <f>IF(AND(Индексы!B27,Результаты!B28=" ",Результаты!C28=" ",Результаты!D28=" ",Результаты!E28=" "),1,0)</f>
        <v>0</v>
      </c>
      <c r="R30" s="135">
        <f>MATCH(Породы!D4,Графики!$B$1:$B$30,1)-1</f>
        <v>16</v>
      </c>
      <c r="S30" s="136">
        <f>MATCH(Породы!D5,Графики!$B$1:$B$30,1)</f>
        <v>20</v>
      </c>
      <c r="T30" s="136"/>
      <c r="U30" s="136">
        <f>MATCH(Породы!D6,Графики!$B$1:$B$30,1)</f>
        <v>22</v>
      </c>
      <c r="V30" s="137"/>
      <c r="W30" s="136">
        <f>MATCH(Породы!D7,Графики!$B$1:$B$30,1)</f>
        <v>27</v>
      </c>
      <c r="X30" s="132" t="s">
        <v>95</v>
      </c>
      <c r="Y30" s="79"/>
      <c r="Z30" s="83"/>
      <c r="AA30" s="83"/>
      <c r="AB30" s="83"/>
      <c r="AC30" s="83"/>
      <c r="AD30" s="83"/>
      <c r="AE30" s="83"/>
      <c r="AF30" s="83"/>
      <c r="AG30" s="83"/>
      <c r="AH30" s="83"/>
      <c r="AI30" s="83"/>
      <c r="AJ30" s="83"/>
      <c r="AK30" s="83"/>
      <c r="AL30" s="83"/>
      <c r="AM30" s="93"/>
      <c r="AN30" s="93"/>
      <c r="AO30" s="93"/>
      <c r="AP30" s="93"/>
      <c r="AQ30" s="93"/>
    </row>
    <row r="31" spans="1:43" s="19" customFormat="1" x14ac:dyDescent="0.25">
      <c r="B31" s="23"/>
      <c r="C31" s="20"/>
      <c r="D31" s="20"/>
      <c r="E31" s="20"/>
      <c r="F31" s="96"/>
      <c r="G31" s="96"/>
      <c r="H31" s="97"/>
      <c r="I31" s="97"/>
      <c r="J31" s="97"/>
      <c r="K31" s="97"/>
      <c r="L31" s="97"/>
      <c r="M31" s="97"/>
      <c r="N31" s="79"/>
      <c r="O31" s="79"/>
      <c r="P31" s="79"/>
      <c r="Q31" s="80">
        <f>IF(AND(Индексы!B28,Результаты!B29=" ",Результаты!C29=" ",Результаты!D29=" ",Результаты!E29=" "),1,0)</f>
        <v>0</v>
      </c>
      <c r="R31" s="135"/>
      <c r="S31" s="136"/>
      <c r="T31" s="136"/>
      <c r="U31" s="136"/>
      <c r="V31" s="137"/>
      <c r="W31" s="136"/>
      <c r="X31" s="79"/>
      <c r="Y31" s="79"/>
      <c r="Z31" s="83"/>
      <c r="AA31" s="83"/>
      <c r="AB31" s="83"/>
      <c r="AC31" s="83"/>
      <c r="AD31" s="83"/>
      <c r="AE31" s="83"/>
      <c r="AF31" s="83"/>
      <c r="AG31" s="83"/>
      <c r="AH31" s="83"/>
      <c r="AI31" s="83"/>
      <c r="AJ31" s="83"/>
      <c r="AK31" s="83"/>
      <c r="AL31" s="83"/>
      <c r="AM31" s="93"/>
      <c r="AN31" s="93"/>
      <c r="AO31" s="93"/>
      <c r="AP31" s="93"/>
      <c r="AQ31" s="93"/>
    </row>
    <row r="32" spans="1:43" s="19" customFormat="1" x14ac:dyDescent="0.25">
      <c r="B32" s="21"/>
      <c r="C32" s="20"/>
      <c r="D32" s="20"/>
      <c r="E32" s="20"/>
      <c r="F32" s="96"/>
      <c r="G32" s="96"/>
      <c r="H32" s="97"/>
      <c r="I32" s="97"/>
      <c r="J32" s="97"/>
      <c r="K32" s="97"/>
      <c r="L32" s="97"/>
      <c r="M32" s="97"/>
      <c r="N32" s="79"/>
      <c r="O32" s="79"/>
      <c r="P32" s="79"/>
      <c r="Q32" s="80">
        <f>IF(AND(Индексы!B29,Результаты!B30=" ",Результаты!C30=" ",Результаты!D30=" ",Результаты!E30=" "),1,0)</f>
        <v>0</v>
      </c>
      <c r="R32" s="135">
        <f>MATCH(Породы!C4,Графики!$B$1:$B$30,1)-1</f>
        <v>1</v>
      </c>
      <c r="S32" s="138">
        <f>MATCH(Породы!C5,Графики!$B$1:$B$30,1)-1</f>
        <v>13</v>
      </c>
      <c r="T32" s="136"/>
      <c r="U32" s="138">
        <f>MATCH(Породы!C6,Графики!$B$1:$B$30,1)-1</f>
        <v>15</v>
      </c>
      <c r="V32" s="137"/>
      <c r="W32" s="136">
        <f>MATCH(Породы!C7,Графики!$B$1:$B$30,1)</f>
        <v>17</v>
      </c>
      <c r="X32" s="133" t="s">
        <v>96</v>
      </c>
      <c r="Y32" s="79"/>
      <c r="Z32" s="83"/>
      <c r="AA32" s="83"/>
      <c r="AB32" s="83"/>
      <c r="AC32" s="83"/>
      <c r="AD32" s="83"/>
      <c r="AE32" s="83"/>
      <c r="AF32" s="83"/>
      <c r="AG32" s="83"/>
      <c r="AH32" s="83"/>
      <c r="AI32" s="83"/>
      <c r="AJ32" s="83"/>
      <c r="AK32" s="83"/>
      <c r="AL32" s="83"/>
      <c r="AM32" s="93"/>
      <c r="AN32" s="93"/>
      <c r="AO32" s="93"/>
      <c r="AP32" s="93"/>
      <c r="AQ32" s="93"/>
    </row>
    <row r="33" spans="2:43" s="19" customFormat="1" x14ac:dyDescent="0.25">
      <c r="B33" s="21"/>
      <c r="C33" s="20"/>
      <c r="D33" s="20"/>
      <c r="E33" s="20"/>
      <c r="F33" s="96"/>
      <c r="G33" s="96"/>
      <c r="H33" s="97"/>
      <c r="I33" s="97"/>
      <c r="J33" s="97"/>
      <c r="K33" s="97"/>
      <c r="L33" s="97"/>
      <c r="M33" s="97"/>
      <c r="N33" s="79"/>
      <c r="O33" s="79"/>
      <c r="P33" s="79"/>
      <c r="Q33" s="80">
        <f>IF(AND(Индексы!B30,Результаты!B31=" ",Результаты!C31=" ",Результаты!D31=" ",Результаты!E31=" "),1,0)</f>
        <v>0</v>
      </c>
      <c r="R33" s="136"/>
      <c r="S33" s="136"/>
      <c r="T33" s="136"/>
      <c r="U33" s="136"/>
      <c r="V33" s="137"/>
      <c r="W33" s="136"/>
      <c r="X33" s="79"/>
      <c r="Y33" s="79"/>
      <c r="Z33" s="83"/>
      <c r="AA33" s="83"/>
      <c r="AB33" s="83"/>
      <c r="AC33" s="83"/>
      <c r="AD33" s="83"/>
      <c r="AE33" s="83"/>
      <c r="AF33" s="83"/>
      <c r="AG33" s="83"/>
      <c r="AH33" s="83"/>
      <c r="AI33" s="83"/>
      <c r="AJ33" s="83"/>
      <c r="AK33" s="83"/>
      <c r="AL33" s="83"/>
      <c r="AM33" s="93"/>
      <c r="AN33" s="93"/>
      <c r="AO33" s="93"/>
      <c r="AP33" s="93"/>
      <c r="AQ33" s="93"/>
    </row>
    <row r="34" spans="2:43" s="19" customFormat="1" x14ac:dyDescent="0.25">
      <c r="B34" s="21"/>
      <c r="C34" s="20"/>
      <c r="D34" s="20"/>
      <c r="E34" s="20"/>
      <c r="F34" s="96"/>
      <c r="G34" s="96"/>
      <c r="H34" s="97"/>
      <c r="I34" s="97"/>
      <c r="J34" s="97"/>
      <c r="K34" s="97"/>
      <c r="L34" s="97"/>
      <c r="M34" s="97"/>
      <c r="N34" s="79"/>
      <c r="O34" s="79"/>
      <c r="P34" s="79"/>
      <c r="Q34" s="80">
        <f>IF(AND(Индексы!B31,Результаты!B32=" ",Результаты!C32=" ",Результаты!D32=" ",Результаты!E32=" "),1,0)</f>
        <v>0</v>
      </c>
      <c r="R34" s="136">
        <f ca="1">SUM(OFFSET(Графики!$C$1,R30+3,0):OFFSET(Графики!$C$1,30,0))</f>
        <v>0</v>
      </c>
      <c r="S34" s="136">
        <f ca="1">SUM(OFFSET(Графики!$C$1,S30+2,0):OFFSET(Графики!$C$1,30,0))</f>
        <v>0</v>
      </c>
      <c r="T34" s="136">
        <f ca="1">SUM(OFFSET(Графики!$C$1,1,0):OFFSET(Графики!$C$1,S32-2,0))</f>
        <v>3</v>
      </c>
      <c r="U34" s="136">
        <f ca="1">SUM(OFFSET(Графики!$C$1,U30+2,0):OFFSET(Графики!$C$1,30,0))</f>
        <v>0</v>
      </c>
      <c r="V34" s="136">
        <f ca="1">SUM(OFFSET(Графики!$C$1,1,0):OFFSET(Графики!$C$1,U32-2,0))</f>
        <v>11</v>
      </c>
      <c r="W34" s="136">
        <f ca="1">SUM(OFFSET(Графики!$C$1,1,0):OFFSET(Графики!$C$1,W32-3,0))</f>
        <v>11</v>
      </c>
      <c r="X34" s="133" t="s">
        <v>100</v>
      </c>
      <c r="Y34" s="79"/>
      <c r="Z34" s="83"/>
      <c r="AA34" s="83"/>
      <c r="AB34" s="83"/>
      <c r="AC34" s="83"/>
      <c r="AD34" s="83"/>
      <c r="AE34" s="83"/>
      <c r="AF34" s="83"/>
      <c r="AG34" s="83"/>
      <c r="AH34" s="83"/>
      <c r="AI34" s="83"/>
      <c r="AJ34" s="83"/>
      <c r="AK34" s="83"/>
      <c r="AL34" s="83"/>
      <c r="AM34" s="93"/>
      <c r="AN34" s="93"/>
      <c r="AO34" s="93"/>
      <c r="AP34" s="93"/>
      <c r="AQ34" s="93"/>
    </row>
    <row r="35" spans="2:43" s="19" customFormat="1" x14ac:dyDescent="0.25">
      <c r="B35" s="21"/>
      <c r="C35" s="20"/>
      <c r="D35" s="20"/>
      <c r="E35" s="20"/>
      <c r="F35" s="96"/>
      <c r="G35" s="96"/>
      <c r="H35" s="97"/>
      <c r="I35" s="97"/>
      <c r="J35" s="97"/>
      <c r="K35" s="97"/>
      <c r="L35" s="97"/>
      <c r="M35" s="97"/>
      <c r="N35" s="79"/>
      <c r="O35" s="79"/>
      <c r="P35" s="79"/>
      <c r="Q35" s="80">
        <f>IF(AND(Индексы!B32,Результаты!B33=" ",Результаты!C33=" ",Результаты!D33=" ",Результаты!E33=" "),1,0)</f>
        <v>0</v>
      </c>
      <c r="R35" s="136">
        <f ca="1">SUM(OFFSET(Графики!$C$1,R30,0):OFFSET(Графики!$C$1,R30+2,0))</f>
        <v>0</v>
      </c>
      <c r="S35" s="136">
        <f ca="1">SUM(OFFSET(Графики!$C$1,S30-1,0):OFFSET(Графики!$C$1,S30+1,0))</f>
        <v>0</v>
      </c>
      <c r="T35" s="136">
        <f ca="1">SUM(OFFSET(Графики!$C$1,S32-1,0):OFFSET(Графики!$C$1,S32+1,0))</f>
        <v>8</v>
      </c>
      <c r="U35" s="136">
        <f ca="1">SUM(OFFSET(Графики!$C$1,U30-1,0):OFFSET(Графики!$C$1,U30+1,0))</f>
        <v>0</v>
      </c>
      <c r="V35" s="136">
        <f ca="1">SUM(OFFSET(Графики!$C$1,U32-1,0):OFFSET(Графики!$C$1,U32+1,0))</f>
        <v>2</v>
      </c>
      <c r="W35" s="136">
        <f ca="1">SUM(OFFSET(Графики!$C$1,W32-2,0):OFFSET(Графики!$C$1,W32,0))</f>
        <v>2</v>
      </c>
      <c r="X35" s="133" t="s">
        <v>101</v>
      </c>
      <c r="Y35" s="79"/>
      <c r="Z35" s="83"/>
      <c r="AA35" s="83"/>
      <c r="AB35" s="83"/>
      <c r="AC35" s="83"/>
      <c r="AD35" s="83"/>
      <c r="AE35" s="83"/>
      <c r="AF35" s="83"/>
      <c r="AG35" s="83"/>
      <c r="AH35" s="83"/>
      <c r="AI35" s="83"/>
      <c r="AJ35" s="83"/>
      <c r="AK35" s="83"/>
      <c r="AL35" s="83"/>
      <c r="AM35" s="93"/>
      <c r="AN35" s="93"/>
      <c r="AO35" s="93"/>
      <c r="AP35" s="93"/>
      <c r="AQ35" s="93"/>
    </row>
    <row r="36" spans="2:43" s="19" customFormat="1" ht="27.6" customHeight="1" x14ac:dyDescent="0.25">
      <c r="B36" s="22"/>
      <c r="C36" s="22"/>
      <c r="D36" s="22"/>
      <c r="E36" s="22"/>
      <c r="F36" s="103"/>
      <c r="G36" s="103"/>
      <c r="H36" s="103"/>
      <c r="I36" s="103"/>
      <c r="J36" s="103"/>
      <c r="K36" s="103"/>
      <c r="L36" s="97"/>
      <c r="M36" s="97"/>
      <c r="N36" s="79"/>
      <c r="O36" s="79"/>
      <c r="P36" s="79"/>
      <c r="Q36" s="80">
        <f>IF(AND(Индексы!B33,Результаты!B34=" ",Результаты!C34=" ",Результаты!D34=" ",Результаты!E34=" "),1,0)</f>
        <v>0</v>
      </c>
      <c r="R36" s="139" t="s">
        <v>71</v>
      </c>
      <c r="S36" s="139" t="s">
        <v>71</v>
      </c>
      <c r="T36" s="139" t="s">
        <v>72</v>
      </c>
      <c r="U36" s="139" t="s">
        <v>71</v>
      </c>
      <c r="V36" s="139" t="s">
        <v>72</v>
      </c>
      <c r="W36" s="139" t="s">
        <v>72</v>
      </c>
      <c r="X36" s="79"/>
      <c r="Y36" s="79"/>
      <c r="Z36" s="83"/>
      <c r="AA36" s="83"/>
      <c r="AB36" s="83"/>
      <c r="AC36" s="83"/>
      <c r="AD36" s="83"/>
      <c r="AE36" s="83"/>
      <c r="AF36" s="83"/>
      <c r="AG36" s="83"/>
      <c r="AH36" s="83"/>
      <c r="AI36" s="83"/>
      <c r="AJ36" s="83"/>
      <c r="AK36" s="83"/>
      <c r="AL36" s="83"/>
      <c r="AM36" s="93"/>
      <c r="AN36" s="93"/>
      <c r="AO36" s="93"/>
      <c r="AP36" s="93"/>
      <c r="AQ36" s="93"/>
    </row>
    <row r="37" spans="2:43" s="19" customFormat="1" ht="19.95" customHeight="1" x14ac:dyDescent="0.25">
      <c r="B37" s="22"/>
      <c r="C37" s="22"/>
      <c r="D37" s="22"/>
      <c r="E37" s="22"/>
      <c r="F37" s="103"/>
      <c r="G37" s="103"/>
      <c r="H37" s="103"/>
      <c r="I37" s="103"/>
      <c r="J37" s="103"/>
      <c r="K37" s="103"/>
      <c r="L37" s="97"/>
      <c r="M37" s="97"/>
      <c r="N37" s="79"/>
      <c r="O37" s="79"/>
      <c r="P37" s="79"/>
      <c r="Q37" s="80">
        <f>IF(AND(Индексы!B34,Результаты!B35=" ",Результаты!C35=" ",Результаты!D35=" ",Результаты!E35=" "),1,0)</f>
        <v>0</v>
      </c>
      <c r="R37" s="79"/>
      <c r="S37" s="79"/>
      <c r="T37" s="79"/>
      <c r="U37" s="79"/>
      <c r="V37" s="125"/>
      <c r="W37" s="79"/>
      <c r="X37" s="79"/>
      <c r="Y37" s="79"/>
      <c r="Z37" s="83"/>
      <c r="AA37" s="83"/>
      <c r="AB37" s="83"/>
      <c r="AC37" s="83"/>
      <c r="AD37" s="83"/>
      <c r="AE37" s="83"/>
      <c r="AF37" s="83"/>
      <c r="AG37" s="83"/>
      <c r="AH37" s="83"/>
      <c r="AI37" s="83"/>
      <c r="AJ37" s="83"/>
      <c r="AK37" s="83"/>
      <c r="AL37" s="83"/>
      <c r="AM37" s="93"/>
      <c r="AN37" s="93"/>
      <c r="AO37" s="93"/>
      <c r="AP37" s="93"/>
      <c r="AQ37" s="93"/>
    </row>
    <row r="38" spans="2:43" s="19" customFormat="1" ht="19.95" customHeight="1" x14ac:dyDescent="0.25">
      <c r="B38" s="22"/>
      <c r="C38" s="22"/>
      <c r="D38" s="22"/>
      <c r="E38" s="22"/>
      <c r="F38" s="103"/>
      <c r="G38" s="103"/>
      <c r="H38" s="103"/>
      <c r="I38" s="103"/>
      <c r="J38" s="103"/>
      <c r="K38" s="103"/>
      <c r="L38" s="97"/>
      <c r="M38" s="97"/>
      <c r="N38" s="79"/>
      <c r="O38" s="79"/>
      <c r="P38" s="79"/>
      <c r="Q38" s="80">
        <f>IF(AND(Индексы!B35,Результаты!B36=" ",Результаты!C36=" ",Результаты!D36=" ",Результаты!E36=" "),1,0)</f>
        <v>0</v>
      </c>
      <c r="R38" s="244" t="s">
        <v>112</v>
      </c>
      <c r="S38" s="245"/>
      <c r="T38" s="245"/>
      <c r="U38" s="245"/>
      <c r="V38" s="245"/>
      <c r="W38" s="245"/>
      <c r="X38" s="79"/>
      <c r="Y38" s="79"/>
      <c r="Z38" s="83"/>
      <c r="AA38" s="83"/>
      <c r="AB38" s="83"/>
      <c r="AC38" s="83"/>
      <c r="AD38" s="83"/>
      <c r="AE38" s="83"/>
      <c r="AF38" s="83"/>
      <c r="AG38" s="83"/>
      <c r="AH38" s="83"/>
      <c r="AI38" s="83"/>
      <c r="AJ38" s="83"/>
      <c r="AK38" s="83"/>
      <c r="AL38" s="83"/>
      <c r="AM38" s="93"/>
      <c r="AN38" s="93"/>
      <c r="AO38" s="93"/>
      <c r="AP38" s="93"/>
      <c r="AQ38" s="93"/>
    </row>
    <row r="39" spans="2:43" s="19" customFormat="1" ht="19.95" customHeight="1" x14ac:dyDescent="0.25">
      <c r="B39" s="22"/>
      <c r="C39" s="22"/>
      <c r="D39" s="22"/>
      <c r="E39" s="22"/>
      <c r="F39" s="103"/>
      <c r="G39" s="103"/>
      <c r="H39" s="103"/>
      <c r="I39" s="103"/>
      <c r="J39" s="103"/>
      <c r="K39" s="103"/>
      <c r="L39" s="97"/>
      <c r="M39" s="97"/>
      <c r="N39" s="79"/>
      <c r="O39" s="79"/>
      <c r="P39" s="79"/>
      <c r="Q39" s="80"/>
      <c r="R39" s="162">
        <f ca="1">R46/ROUND(COUNTIF(Индексы!$B$2:$B$101,"&gt;0"),3)*100</f>
        <v>0</v>
      </c>
      <c r="S39" s="162">
        <f ca="1">(S46+T46)/ROUND(COUNTIF(Индексы!$B$2:$B$101,"&gt;0"),3)*100</f>
        <v>30.76923076923077</v>
      </c>
      <c r="T39" s="162"/>
      <c r="U39" s="129">
        <f ca="1">(U46+V46)/ROUND(COUNTIF(Индексы!$B$2:$B$101,"&gt;0"),3)*100</f>
        <v>100</v>
      </c>
      <c r="V39" s="129"/>
      <c r="W39" s="162">
        <f ca="1">W46/ROUND(COUNTIF(Индексы!$B$2:$B$101,"&gt;0"),3)*100</f>
        <v>100</v>
      </c>
      <c r="X39" s="132" t="s">
        <v>80</v>
      </c>
      <c r="Y39" s="79"/>
      <c r="Z39" s="83"/>
      <c r="AA39" s="83"/>
      <c r="AB39" s="83"/>
      <c r="AC39" s="83"/>
      <c r="AD39" s="83"/>
      <c r="AE39" s="83"/>
      <c r="AF39" s="83"/>
      <c r="AG39" s="83"/>
      <c r="AH39" s="83"/>
      <c r="AI39" s="83"/>
      <c r="AJ39" s="83"/>
      <c r="AK39" s="83"/>
      <c r="AL39" s="83"/>
      <c r="AM39" s="93"/>
      <c r="AN39" s="93"/>
      <c r="AO39" s="93"/>
      <c r="AP39" s="93"/>
      <c r="AQ39" s="93"/>
    </row>
    <row r="40" spans="2:43" s="19" customFormat="1" ht="19.95" customHeight="1" x14ac:dyDescent="0.25">
      <c r="B40" s="22"/>
      <c r="C40" s="22"/>
      <c r="D40" s="22"/>
      <c r="E40" s="22"/>
      <c r="F40" s="103"/>
      <c r="G40" s="103"/>
      <c r="H40" s="103"/>
      <c r="I40" s="103"/>
      <c r="J40" s="103"/>
      <c r="K40" s="103"/>
      <c r="L40" s="97"/>
      <c r="M40" s="97"/>
      <c r="N40" s="79"/>
      <c r="O40" s="79"/>
      <c r="P40" s="79"/>
      <c r="Q40" s="80">
        <f>IF(AND(Индексы!B36,Результаты!B37=" ",Результаты!C37=" ",Результаты!D37=" ",Результаты!E37=" "),1,0)</f>
        <v>0</v>
      </c>
      <c r="R40" s="162">
        <f ca="1">R47/ROUND(COUNTIF(Индексы!$B$2:$B$101,"&gt;0"),3)*100</f>
        <v>0</v>
      </c>
      <c r="S40" s="162">
        <f ca="1">(S47+T47)/ROUND(COUNTIF(Индексы!$B$2:$B$101,"&gt;0"),3)*100</f>
        <v>69.230769230769226</v>
      </c>
      <c r="T40" s="162"/>
      <c r="U40" s="129">
        <f ca="1">(U47+V47)/ROUND(COUNTIF(Индексы!$B$2:$B$101,"&gt;0"),3)*100</f>
        <v>0</v>
      </c>
      <c r="V40" s="129"/>
      <c r="W40" s="162">
        <f ca="1">W47/ROUND(COUNTIF(Индексы!$B$2:$B$101,"&gt;0"),3)*100</f>
        <v>0</v>
      </c>
      <c r="X40" s="133" t="s">
        <v>81</v>
      </c>
      <c r="Y40" s="79"/>
      <c r="Z40" s="83"/>
      <c r="AA40" s="83"/>
      <c r="AB40" s="83"/>
      <c r="AC40" s="83"/>
      <c r="AD40" s="83"/>
      <c r="AE40" s="83"/>
      <c r="AF40" s="83"/>
      <c r="AG40" s="83"/>
      <c r="AH40" s="83"/>
      <c r="AI40" s="83"/>
      <c r="AJ40" s="83"/>
      <c r="AK40" s="83"/>
      <c r="AL40" s="83"/>
      <c r="AM40" s="93"/>
      <c r="AN40" s="93"/>
      <c r="AO40" s="93"/>
      <c r="AP40" s="93"/>
      <c r="AQ40" s="93"/>
    </row>
    <row r="41" spans="2:43" s="19" customFormat="1" ht="43.2" customHeight="1" x14ac:dyDescent="0.25">
      <c r="B41" s="22"/>
      <c r="C41" s="22"/>
      <c r="D41" s="22"/>
      <c r="E41" s="22"/>
      <c r="F41" s="103"/>
      <c r="G41" s="103"/>
      <c r="H41" s="103"/>
      <c r="I41" s="103"/>
      <c r="J41" s="103"/>
      <c r="K41" s="103"/>
      <c r="L41" s="97"/>
      <c r="M41" s="97"/>
      <c r="N41" s="79"/>
      <c r="O41" s="79"/>
      <c r="P41" s="79"/>
      <c r="Q41" s="80">
        <f>IF(AND(Индексы!B37,Результаты!B38=" ",Результаты!C38=" ",Результаты!D38=" ",Результаты!E38=" "),1,0)</f>
        <v>0</v>
      </c>
      <c r="R41" s="134" t="str">
        <f ca="1">IF(OR(R39&gt;2,R40&gt;15),"Гибрид",IF(OR(R39&gt;2*0.5,R40&gt;15*0.5),"В допустимых пределах",IF(OR(R39&gt;0,R40&gt;0),"Несущественная","Отсутствует")))</f>
        <v>Отсутствует</v>
      </c>
      <c r="S41" s="134" t="str">
        <f ca="1">IF(OR(S39&gt;2,S40&gt;15),"Гибрид",IF(OR(S39&gt;2*0.5,S40&gt;15*0.5),"В допустимых пределах",IF(OR(S39&gt;0,S40&gt;0),"Несущественная","Отсутствует")))</f>
        <v>Гибрид</v>
      </c>
      <c r="T41" s="134"/>
      <c r="U41" s="134" t="str">
        <f ca="1">IF(OR(U39&gt;2,U40&gt;15),"Гибрид",IF(OR(U39&gt;2*0.5,U40&gt;15*0.5),"В допустимых пределах",IF(OR(U39&gt;0,U40&gt;0),"Несущественная","Отсутствует")))</f>
        <v>Гибрид</v>
      </c>
      <c r="V41" s="134"/>
      <c r="W41" s="134" t="str">
        <f ca="1">IF(OR(W39&gt;2,W40&gt;15),"Гибрид",IF(OR(W39&gt;2*0.5,W40&gt;15*0.5),"В допустимых пределах",IF(OR(W39&gt;0,W40&gt;0),"Несущественная","Отсутствует")))</f>
        <v>Гибрид</v>
      </c>
      <c r="X41" s="159"/>
      <c r="Y41" s="79"/>
      <c r="Z41" s="83"/>
      <c r="AA41" s="83"/>
      <c r="AB41" s="83"/>
      <c r="AC41" s="83"/>
      <c r="AD41" s="83"/>
      <c r="AE41" s="83"/>
      <c r="AF41" s="83"/>
      <c r="AG41" s="83"/>
      <c r="AH41" s="83"/>
      <c r="AI41" s="83"/>
      <c r="AJ41" s="83"/>
      <c r="AK41" s="83"/>
      <c r="AL41" s="83"/>
      <c r="AM41" s="93"/>
      <c r="AN41" s="93"/>
      <c r="AO41" s="93"/>
      <c r="AP41" s="93"/>
      <c r="AQ41" s="93"/>
    </row>
    <row r="42" spans="2:43" s="19" customFormat="1" ht="19.95" customHeight="1" x14ac:dyDescent="0.25">
      <c r="B42" s="22"/>
      <c r="C42" s="22"/>
      <c r="D42" s="22"/>
      <c r="E42" s="22"/>
      <c r="F42" s="103"/>
      <c r="G42" s="103"/>
      <c r="H42" s="103"/>
      <c r="I42" s="103"/>
      <c r="J42" s="103"/>
      <c r="K42" s="103"/>
      <c r="L42" s="97"/>
      <c r="M42" s="97"/>
      <c r="N42" s="79"/>
      <c r="O42" s="79"/>
      <c r="P42" s="79"/>
      <c r="Q42" s="80">
        <f>IF(AND(Индексы!B38,Результаты!B39=" ",Результаты!C39=" ",Результаты!D39=" ",Результаты!E39=" "),1,0)</f>
        <v>0</v>
      </c>
      <c r="R42" s="136">
        <f>MATCH(Породы!F4,Графики!$G$1:$G$30,1)</f>
        <v>18</v>
      </c>
      <c r="S42" s="136">
        <f>MATCH(Породы!F5,Графики!$G$1:$G$30,1)</f>
        <v>21</v>
      </c>
      <c r="T42" s="136"/>
      <c r="U42" s="136">
        <f>MATCH(Породы!F6,Графики!$G$1:$G$30,1)</f>
        <v>23</v>
      </c>
      <c r="V42" s="137"/>
      <c r="W42" s="136">
        <f>MATCH(Породы!F7,Графики!$G$1:$G$30,1)</f>
        <v>30</v>
      </c>
      <c r="X42" s="132" t="s">
        <v>95</v>
      </c>
      <c r="Y42" s="79"/>
      <c r="Z42" s="83"/>
      <c r="AA42" s="83"/>
      <c r="AB42" s="83"/>
      <c r="AC42" s="83"/>
      <c r="AD42" s="83"/>
      <c r="AE42" s="83"/>
      <c r="AF42" s="83"/>
      <c r="AG42" s="83"/>
      <c r="AH42" s="83"/>
      <c r="AI42" s="83"/>
      <c r="AJ42" s="83"/>
      <c r="AK42" s="83"/>
      <c r="AL42" s="83"/>
      <c r="AM42" s="93"/>
      <c r="AN42" s="93"/>
      <c r="AO42" s="93"/>
      <c r="AP42" s="93"/>
      <c r="AQ42" s="93"/>
    </row>
    <row r="43" spans="2:43" s="19" customFormat="1" ht="19.95" customHeight="1" x14ac:dyDescent="0.25">
      <c r="B43" s="22"/>
      <c r="C43" s="22"/>
      <c r="D43" s="22"/>
      <c r="E43" s="22"/>
      <c r="F43" s="103"/>
      <c r="G43" s="103"/>
      <c r="H43" s="103"/>
      <c r="I43" s="103"/>
      <c r="J43" s="103"/>
      <c r="K43" s="103"/>
      <c r="L43" s="97"/>
      <c r="M43" s="97"/>
      <c r="N43" s="79"/>
      <c r="O43" s="79"/>
      <c r="P43" s="79"/>
      <c r="Q43" s="80">
        <f>IF(AND(Индексы!B39,Результаты!B40=" ",Результаты!C40=" ",Результаты!D40=" ",Результаты!E40=" "),1,0)</f>
        <v>0</v>
      </c>
      <c r="R43" s="136"/>
      <c r="S43" s="136"/>
      <c r="T43" s="136"/>
      <c r="U43" s="136"/>
      <c r="V43" s="137"/>
      <c r="W43" s="136"/>
      <c r="X43" s="79"/>
      <c r="Y43" s="79"/>
      <c r="Z43" s="83"/>
      <c r="AA43" s="83"/>
      <c r="AB43" s="83"/>
      <c r="AC43" s="83"/>
      <c r="AD43" s="83"/>
      <c r="AE43" s="83"/>
      <c r="AF43" s="83"/>
      <c r="AG43" s="83"/>
      <c r="AH43" s="83"/>
      <c r="AI43" s="83"/>
      <c r="AJ43" s="83"/>
      <c r="AK43" s="83"/>
      <c r="AL43" s="83"/>
      <c r="AM43" s="93"/>
      <c r="AN43" s="93"/>
      <c r="AO43" s="93"/>
      <c r="AP43" s="93"/>
      <c r="AQ43" s="93"/>
    </row>
    <row r="44" spans="2:43" s="19" customFormat="1" ht="19.95" customHeight="1" x14ac:dyDescent="0.25">
      <c r="B44" s="22"/>
      <c r="C44" s="22"/>
      <c r="D44" s="22"/>
      <c r="E44" s="22"/>
      <c r="F44" s="103"/>
      <c r="G44" s="103"/>
      <c r="H44" s="103"/>
      <c r="I44" s="103"/>
      <c r="J44" s="103"/>
      <c r="K44" s="103"/>
      <c r="L44" s="97"/>
      <c r="M44" s="97"/>
      <c r="N44" s="79"/>
      <c r="O44" s="79"/>
      <c r="P44" s="79"/>
      <c r="Q44" s="80">
        <f>IF(AND(Индексы!B40,Результаты!B41=" ",Результаты!C41=" ",Результаты!D41=" ",Результаты!E41=" "),1,0)</f>
        <v>0</v>
      </c>
      <c r="R44" s="136">
        <f>MATCH(Породы!E4,Графики!$G$1:$G$30,1)</f>
        <v>2</v>
      </c>
      <c r="S44" s="136">
        <f>MATCH(Породы!E5,Графики!$G$1:$G$30,1)</f>
        <v>15</v>
      </c>
      <c r="T44" s="136"/>
      <c r="U44" s="136">
        <f>MATCH(Породы!E6,Графики!$G$1:$G$30,1)</f>
        <v>18</v>
      </c>
      <c r="V44" s="137"/>
      <c r="W44" s="138">
        <f>MATCH(Породы!E7,Графики!$G$1:$G$30,1)</f>
        <v>18</v>
      </c>
      <c r="X44" s="133" t="s">
        <v>96</v>
      </c>
      <c r="Y44" s="79"/>
      <c r="Z44" s="83"/>
      <c r="AA44" s="83"/>
      <c r="AB44" s="83"/>
      <c r="AC44" s="83"/>
      <c r="AD44" s="83"/>
      <c r="AE44" s="83"/>
      <c r="AF44" s="83"/>
      <c r="AG44" s="83"/>
      <c r="AH44" s="83"/>
      <c r="AI44" s="83"/>
      <c r="AJ44" s="83"/>
      <c r="AK44" s="83"/>
      <c r="AL44" s="83"/>
      <c r="AM44" s="93"/>
      <c r="AN44" s="93"/>
      <c r="AO44" s="93"/>
      <c r="AP44" s="93"/>
      <c r="AQ44" s="93"/>
    </row>
    <row r="45" spans="2:43" s="19" customFormat="1" ht="19.95" customHeight="1" x14ac:dyDescent="0.25">
      <c r="B45" s="22"/>
      <c r="C45" s="22"/>
      <c r="D45" s="22"/>
      <c r="E45" s="22"/>
      <c r="F45" s="103"/>
      <c r="G45" s="103"/>
      <c r="H45" s="103"/>
      <c r="I45" s="103"/>
      <c r="J45" s="103"/>
      <c r="K45" s="103"/>
      <c r="L45" s="97"/>
      <c r="M45" s="97"/>
      <c r="N45" s="79"/>
      <c r="O45" s="79"/>
      <c r="P45" s="79"/>
      <c r="Q45" s="80">
        <f>IF(AND(Индексы!B41,Результаты!B42=" ",Результаты!C42=" ",Результаты!D42=" ",Результаты!E42=" "),1,0)</f>
        <v>0</v>
      </c>
      <c r="R45" s="136"/>
      <c r="S45" s="136"/>
      <c r="T45" s="136"/>
      <c r="U45" s="136"/>
      <c r="V45" s="137"/>
      <c r="W45" s="136"/>
      <c r="X45" s="79"/>
      <c r="Y45" s="79"/>
      <c r="Z45" s="83"/>
      <c r="AA45" s="83"/>
      <c r="AB45" s="83"/>
      <c r="AC45" s="83"/>
      <c r="AD45" s="83"/>
      <c r="AE45" s="83"/>
      <c r="AF45" s="83"/>
      <c r="AG45" s="83"/>
      <c r="AH45" s="83"/>
      <c r="AI45" s="83"/>
      <c r="AJ45" s="83"/>
      <c r="AK45" s="83"/>
      <c r="AL45" s="83"/>
      <c r="AM45" s="93"/>
      <c r="AN45" s="93"/>
      <c r="AO45" s="93"/>
      <c r="AP45" s="93"/>
      <c r="AQ45" s="93"/>
    </row>
    <row r="46" spans="2:43" s="19" customFormat="1" x14ac:dyDescent="0.25">
      <c r="B46" s="21"/>
      <c r="C46" s="20"/>
      <c r="D46" s="20"/>
      <c r="E46" s="20"/>
      <c r="F46" s="96"/>
      <c r="G46" s="96"/>
      <c r="H46" s="97"/>
      <c r="I46" s="97"/>
      <c r="J46" s="97"/>
      <c r="K46" s="97"/>
      <c r="L46" s="97"/>
      <c r="M46" s="97"/>
      <c r="N46" s="79"/>
      <c r="O46" s="79"/>
      <c r="P46" s="79"/>
      <c r="Q46" s="80">
        <f>IF(AND(Индексы!B42,Результаты!B43=" ",Результаты!C43=" ",Результаты!D43=" ",Результаты!E43=" "),1,0)</f>
        <v>0</v>
      </c>
      <c r="R46" s="136">
        <f ca="1">SUM(OFFSET(Графики!$H$1,R42+3,0):OFFSET(Графики!$H$1,30,0))</f>
        <v>0</v>
      </c>
      <c r="S46" s="136">
        <f ca="1">SUM(OFFSET(Графики!$H$1,S42+3,0):OFFSET(Графики!$H$1,30,0))</f>
        <v>0</v>
      </c>
      <c r="T46" s="136">
        <f ca="1">SUM(OFFSET(Графики!$H$1,1,0):OFFSET(Графики!$H$1,S44-4,0))</f>
        <v>4</v>
      </c>
      <c r="U46" s="136">
        <f ca="1">SUM(OFFSET(Графики!$H$1,U42+3,0):OFFSET(Графики!$H$1,30,0))</f>
        <v>0</v>
      </c>
      <c r="V46" s="136">
        <f ca="1">SUM(OFFSET(Графики!$H$1,R44,0):OFFSET(Графики!$H$1,U44-4,0))</f>
        <v>13</v>
      </c>
      <c r="W46" s="136">
        <f ca="1">SUM(OFFSET(Графики!$H$1,1,0):OFFSET(Графики!$H$1,W44-4,0))</f>
        <v>13</v>
      </c>
      <c r="X46" s="133" t="s">
        <v>100</v>
      </c>
      <c r="Y46" s="79"/>
      <c r="Z46" s="83"/>
      <c r="AA46" s="83"/>
      <c r="AB46" s="83"/>
      <c r="AC46" s="83"/>
      <c r="AD46" s="83"/>
      <c r="AE46" s="83"/>
      <c r="AF46" s="83"/>
      <c r="AG46" s="83"/>
      <c r="AH46" s="83"/>
      <c r="AI46" s="83"/>
      <c r="AJ46" s="83"/>
      <c r="AK46" s="83"/>
      <c r="AL46" s="83"/>
      <c r="AM46" s="93"/>
      <c r="AN46" s="93"/>
      <c r="AO46" s="93"/>
      <c r="AP46" s="93"/>
      <c r="AQ46" s="93"/>
    </row>
    <row r="47" spans="2:43" s="19" customFormat="1" ht="19.95" customHeight="1" x14ac:dyDescent="0.25">
      <c r="B47" s="22"/>
      <c r="C47" s="22"/>
      <c r="D47" s="22"/>
      <c r="E47" s="22"/>
      <c r="F47" s="103"/>
      <c r="G47" s="103"/>
      <c r="H47" s="103"/>
      <c r="I47" s="103"/>
      <c r="J47" s="103"/>
      <c r="K47" s="103"/>
      <c r="L47" s="97"/>
      <c r="M47" s="97"/>
      <c r="N47" s="79"/>
      <c r="O47" s="79"/>
      <c r="P47" s="79"/>
      <c r="Q47" s="80">
        <f>IF(AND(Индексы!B42,Результаты!B43=" ",Результаты!C43=" ",Результаты!D43=" ",Результаты!E43=" "),1,0)</f>
        <v>0</v>
      </c>
      <c r="R47" s="136">
        <f ca="1">SUM(OFFSET(Графики!$H$1,R42,0):OFFSET(Графики!$H$1,R42+2,0))</f>
        <v>0</v>
      </c>
      <c r="S47" s="136">
        <f ca="1">SUM(OFFSET(Графики!$H$1,S42,0):OFFSET(Графики!$H$1,S42+2,0))</f>
        <v>0</v>
      </c>
      <c r="T47" s="136">
        <f ca="1">SUM(OFFSET(Графики!$H$1,S44-3,0):OFFSET(Графики!$H$1,S44-1,0))</f>
        <v>9</v>
      </c>
      <c r="U47" s="136">
        <f ca="1">SUM(OFFSET(Графики!$H$1,U42,0):OFFSET(Графики!$H$1,U42+2,0))</f>
        <v>0</v>
      </c>
      <c r="V47" s="136">
        <f ca="1">SUM(OFFSET(Графики!$H$1,U44-3,0):OFFSET(Графики!$H$1,U44-1,0))</f>
        <v>0</v>
      </c>
      <c r="W47" s="136">
        <f ca="1">SUM(OFFSET(Графики!$H$1,W44-3,0):OFFSET(Графики!$H$1,W44-1,0))</f>
        <v>0</v>
      </c>
      <c r="X47" s="133" t="s">
        <v>113</v>
      </c>
      <c r="Y47" s="79"/>
      <c r="Z47" s="83"/>
      <c r="AA47" s="83"/>
      <c r="AB47" s="83"/>
      <c r="AC47" s="83"/>
      <c r="AD47" s="83"/>
      <c r="AE47" s="83"/>
      <c r="AF47" s="83"/>
      <c r="AG47" s="83"/>
      <c r="AH47" s="83"/>
      <c r="AI47" s="83"/>
      <c r="AJ47" s="83"/>
      <c r="AK47" s="83"/>
      <c r="AL47" s="83"/>
      <c r="AM47" s="93"/>
      <c r="AN47" s="93"/>
      <c r="AO47" s="93"/>
      <c r="AP47" s="93"/>
      <c r="AQ47" s="93"/>
    </row>
    <row r="48" spans="2:43" s="19" customFormat="1" ht="19.95" customHeight="1" x14ac:dyDescent="0.25">
      <c r="B48" s="22"/>
      <c r="C48" s="22"/>
      <c r="D48" s="22"/>
      <c r="E48" s="22"/>
      <c r="F48" s="103"/>
      <c r="G48" s="103"/>
      <c r="H48" s="103"/>
      <c r="I48" s="103"/>
      <c r="J48" s="103"/>
      <c r="K48" s="103"/>
      <c r="L48" s="97"/>
      <c r="M48" s="97"/>
      <c r="N48" s="79"/>
      <c r="O48" s="79"/>
      <c r="P48" s="79"/>
      <c r="Q48" s="80">
        <f>IF(AND(Индексы!B43,Результаты!B44=" ",Результаты!C44=" ",Результаты!D44=" ",Результаты!E44=" "),1,0)</f>
        <v>0</v>
      </c>
      <c r="R48" s="93"/>
      <c r="S48" s="93"/>
      <c r="T48" s="93"/>
      <c r="U48" s="93"/>
      <c r="V48" s="93"/>
      <c r="W48" s="93"/>
      <c r="X48" s="93"/>
      <c r="Y48" s="93"/>
      <c r="Z48" s="83"/>
      <c r="AA48" s="83"/>
      <c r="AB48" s="83"/>
      <c r="AC48" s="83"/>
      <c r="AD48" s="83"/>
      <c r="AE48" s="83"/>
      <c r="AF48" s="83"/>
      <c r="AG48" s="83"/>
      <c r="AH48" s="83"/>
      <c r="AI48" s="83"/>
      <c r="AJ48" s="83"/>
      <c r="AK48" s="83"/>
      <c r="AL48" s="83"/>
      <c r="AM48" s="93"/>
      <c r="AN48" s="93"/>
      <c r="AO48" s="93"/>
      <c r="AP48" s="93"/>
      <c r="AQ48" s="93"/>
    </row>
    <row r="49" spans="2:43" s="19" customFormat="1" ht="19.95" customHeight="1" x14ac:dyDescent="0.25">
      <c r="B49" s="22"/>
      <c r="C49" s="22"/>
      <c r="D49" s="22"/>
      <c r="E49" s="22"/>
      <c r="F49" s="103"/>
      <c r="G49" s="103"/>
      <c r="H49" s="103"/>
      <c r="I49" s="103"/>
      <c r="J49" s="103"/>
      <c r="K49" s="103"/>
      <c r="L49" s="97"/>
      <c r="M49" s="97"/>
      <c r="N49" s="79"/>
      <c r="O49" s="79"/>
      <c r="P49" s="79"/>
      <c r="Q49" s="80">
        <f>IF(AND(Индексы!B44,Результаты!B45=" ",Результаты!C45=" ",Результаты!D45=" ",Результаты!E45=" "),1,0)</f>
        <v>0</v>
      </c>
      <c r="R49" s="93"/>
      <c r="S49" s="93"/>
      <c r="T49" s="93"/>
      <c r="U49" s="93"/>
      <c r="V49" s="93"/>
      <c r="W49" s="93"/>
      <c r="X49" s="93"/>
      <c r="Y49" s="79"/>
      <c r="Z49" s="83"/>
      <c r="AA49" s="83"/>
      <c r="AB49" s="83"/>
      <c r="AC49" s="83"/>
      <c r="AD49" s="83"/>
      <c r="AE49" s="83"/>
      <c r="AF49" s="83"/>
      <c r="AG49" s="83"/>
      <c r="AH49" s="83"/>
      <c r="AI49" s="83"/>
      <c r="AJ49" s="83"/>
      <c r="AK49" s="83"/>
      <c r="AL49" s="83"/>
      <c r="AM49" s="93"/>
      <c r="AN49" s="93"/>
      <c r="AO49" s="93"/>
      <c r="AP49" s="93"/>
      <c r="AQ49" s="93"/>
    </row>
    <row r="50" spans="2:43" s="19" customFormat="1" ht="19.95" customHeight="1" x14ac:dyDescent="0.25">
      <c r="B50" s="22"/>
      <c r="C50" s="22"/>
      <c r="D50" s="22"/>
      <c r="E50" s="22"/>
      <c r="F50" s="103"/>
      <c r="G50" s="103"/>
      <c r="H50" s="103"/>
      <c r="I50" s="103"/>
      <c r="J50" s="103"/>
      <c r="K50" s="103"/>
      <c r="L50" s="97"/>
      <c r="M50" s="97"/>
      <c r="N50" s="79"/>
      <c r="O50" s="79"/>
      <c r="P50" s="79"/>
      <c r="Q50" s="80">
        <f>IF(AND(Индексы!B45,Результаты!B46=" ",Результаты!C46=" ",Результаты!D46=" ",Результаты!E46=" "),1,0)</f>
        <v>0</v>
      </c>
      <c r="R50" s="244" t="s">
        <v>114</v>
      </c>
      <c r="S50" s="245"/>
      <c r="T50" s="245"/>
      <c r="U50" s="245"/>
      <c r="V50" s="245"/>
      <c r="W50" s="245"/>
      <c r="X50" s="79"/>
      <c r="Y50" s="79"/>
      <c r="Z50" s="83"/>
      <c r="AA50" s="83"/>
      <c r="AB50" s="83"/>
      <c r="AC50" s="83"/>
      <c r="AD50" s="83"/>
      <c r="AE50" s="83"/>
      <c r="AF50" s="83"/>
      <c r="AG50" s="83"/>
      <c r="AH50" s="83"/>
      <c r="AI50" s="83"/>
      <c r="AJ50" s="83"/>
      <c r="AK50" s="83"/>
      <c r="AL50" s="83"/>
      <c r="AM50" s="93"/>
      <c r="AN50" s="93"/>
      <c r="AO50" s="93"/>
      <c r="AP50" s="93"/>
      <c r="AQ50" s="93"/>
    </row>
    <row r="51" spans="2:43" s="19" customFormat="1" ht="19.95" customHeight="1" x14ac:dyDescent="0.25">
      <c r="B51" s="22"/>
      <c r="C51" s="22"/>
      <c r="D51" s="22"/>
      <c r="E51" s="22"/>
      <c r="F51" s="103"/>
      <c r="G51" s="103"/>
      <c r="H51" s="103"/>
      <c r="I51" s="103"/>
      <c r="J51" s="103"/>
      <c r="K51" s="103"/>
      <c r="L51" s="97"/>
      <c r="M51" s="97"/>
      <c r="N51" s="79"/>
      <c r="O51" s="79"/>
      <c r="P51" s="79"/>
      <c r="Q51" s="80"/>
      <c r="R51" s="162">
        <f ca="1">R58/ROUND(COUNTIF(Индексы!$B$2:$B$101,"&gt;0"),3)*100</f>
        <v>0</v>
      </c>
      <c r="S51" s="162">
        <f ca="1">(S58+T58)/ROUND(COUNTIF(Индексы!$B$2:$B$101,"&gt;0"),3)*100</f>
        <v>0</v>
      </c>
      <c r="T51" s="162"/>
      <c r="U51" s="129">
        <f ca="1">(U58+V58)/ROUND(COUNTIF(Индексы!$B$2:$B$101,"&gt;0"),3)*100</f>
        <v>100</v>
      </c>
      <c r="V51" s="129"/>
      <c r="W51" s="162">
        <f ca="1">W58/ROUND(COUNTIF(Индексы!$B$2:$B$101,"&gt;0"),3)*100</f>
        <v>100</v>
      </c>
      <c r="X51" s="132" t="s">
        <v>80</v>
      </c>
      <c r="Y51" s="79"/>
      <c r="Z51" s="83"/>
      <c r="AA51" s="83"/>
      <c r="AB51" s="83"/>
      <c r="AC51" s="83"/>
      <c r="AD51" s="83"/>
      <c r="AE51" s="83"/>
      <c r="AF51" s="83"/>
      <c r="AG51" s="83"/>
      <c r="AH51" s="83"/>
      <c r="AI51" s="83"/>
      <c r="AJ51" s="83"/>
      <c r="AK51" s="83"/>
      <c r="AL51" s="83"/>
      <c r="AM51" s="93"/>
      <c r="AN51" s="93"/>
      <c r="AO51" s="93"/>
      <c r="AP51" s="93"/>
      <c r="AQ51" s="93"/>
    </row>
    <row r="52" spans="2:43" s="19" customFormat="1" ht="19.95" customHeight="1" x14ac:dyDescent="0.25">
      <c r="B52" s="22"/>
      <c r="C52" s="22"/>
      <c r="D52" s="22"/>
      <c r="E52" s="22"/>
      <c r="F52" s="103"/>
      <c r="G52" s="103"/>
      <c r="H52" s="103"/>
      <c r="I52" s="103"/>
      <c r="J52" s="103"/>
      <c r="K52" s="103"/>
      <c r="L52" s="97"/>
      <c r="M52" s="97"/>
      <c r="N52" s="79"/>
      <c r="O52" s="79"/>
      <c r="P52" s="79"/>
      <c r="Q52" s="80">
        <f>IF(AND(Индексы!B48,Результаты!B49=" ",Результаты!C49=" ",Результаты!D49=" ",Результаты!E49=" "),1,0)</f>
        <v>0</v>
      </c>
      <c r="R52" s="162">
        <f ca="1">R59/ROUND(COUNTIF(Индексы!$B$2:$B$101,"&gt;0"),3)*100</f>
        <v>0</v>
      </c>
      <c r="S52" s="162">
        <f ca="1">(S59+T59)/ROUND(COUNTIF(Индексы!$B$2:$B$101,"&gt;0"),3)*100</f>
        <v>15.384615384615385</v>
      </c>
      <c r="T52" s="162"/>
      <c r="U52" s="129">
        <f ca="1">(U59+V59)/ROUND(COUNTIF(Индексы!$B$2:$B$101,"&gt;0"),3)*100</f>
        <v>0</v>
      </c>
      <c r="V52" s="129"/>
      <c r="W52" s="162">
        <f ca="1">W59/ROUND(COUNTIF(Индексы!$B$2:$B$101,"&gt;0"),3)*100</f>
        <v>0</v>
      </c>
      <c r="X52" s="133" t="s">
        <v>81</v>
      </c>
      <c r="Y52" s="79"/>
      <c r="Z52" s="83"/>
      <c r="AA52" s="83"/>
      <c r="AB52" s="83"/>
      <c r="AC52" s="83"/>
      <c r="AD52" s="83"/>
      <c r="AE52" s="83"/>
      <c r="AF52" s="83"/>
      <c r="AG52" s="83"/>
      <c r="AH52" s="83"/>
      <c r="AI52" s="83"/>
      <c r="AJ52" s="83"/>
      <c r="AK52" s="83"/>
      <c r="AL52" s="83"/>
      <c r="AM52" s="93"/>
      <c r="AN52" s="93"/>
      <c r="AO52" s="93"/>
      <c r="AP52" s="93"/>
      <c r="AQ52" s="93"/>
    </row>
    <row r="53" spans="2:43" s="19" customFormat="1" ht="41.4" customHeight="1" x14ac:dyDescent="0.25">
      <c r="B53" s="22"/>
      <c r="C53" s="22"/>
      <c r="D53" s="22"/>
      <c r="E53" s="22"/>
      <c r="F53" s="103"/>
      <c r="G53" s="103"/>
      <c r="H53" s="103"/>
      <c r="I53" s="103"/>
      <c r="J53" s="103"/>
      <c r="K53" s="103"/>
      <c r="L53" s="97"/>
      <c r="M53" s="97"/>
      <c r="N53" s="79"/>
      <c r="O53" s="79"/>
      <c r="P53" s="79"/>
      <c r="Q53" s="80">
        <f>IF(AND(Индексы!B49,Результаты!B50=" ",Результаты!C50=" ",Результаты!D50=" ",Результаты!E50=" "),1,0)</f>
        <v>0</v>
      </c>
      <c r="R53" s="134" t="str">
        <f ca="1">IF(OR(R51&gt;2,R52&gt;15),"Гибрид",IF(OR(R51&gt;2*0.5,R52&gt;15*0.5),"В допустимых пределах",IF(OR(R51&gt;0,R52&gt;0),"Несущественная","Отсутствует")))</f>
        <v>Отсутствует</v>
      </c>
      <c r="S53" s="134" t="str">
        <f ca="1">IF(OR(S51&gt;2,S52&gt;15),"Гибрид",IF(OR(S51&gt;2*0.5,S52&gt;15*0.5),"В допустимых пределах",IF(OR(S51&gt;0,S52&gt;0),"Несущественная","Отсутствует")))</f>
        <v>Гибрид</v>
      </c>
      <c r="T53" s="134"/>
      <c r="U53" s="134" t="str">
        <f ca="1">IF(OR(U51&gt;2,U52&gt;15),"Гибрид",IF(OR(U51&gt;2*0.5,U52&gt;15*0.5),"В допустимых пределах",IF(OR(U51&gt;0,U52&gt;0),"Несущественная","Отсутствует")))</f>
        <v>Гибрид</v>
      </c>
      <c r="V53" s="134"/>
      <c r="W53" s="134" t="str">
        <f ca="1">IF(OR(W51&gt;2,W52&gt;15),"Гибрид",IF(OR(W51&gt;2*0.5,W52&gt;15*0.5),"В допустимых пределах",IF(OR(W51&gt;0,W52&gt;0),"Несущественная","Отсутствует")))</f>
        <v>Гибрид</v>
      </c>
      <c r="X53" s="159"/>
      <c r="Y53" s="79"/>
      <c r="Z53" s="83"/>
      <c r="AA53" s="83"/>
      <c r="AB53" s="83"/>
      <c r="AC53" s="83"/>
      <c r="AD53" s="83"/>
      <c r="AE53" s="83"/>
      <c r="AF53" s="83"/>
      <c r="AG53" s="83"/>
      <c r="AH53" s="83"/>
      <c r="AI53" s="83"/>
      <c r="AJ53" s="83"/>
      <c r="AK53" s="83"/>
      <c r="AL53" s="83"/>
      <c r="AM53" s="93"/>
      <c r="AN53" s="93"/>
      <c r="AO53" s="93"/>
      <c r="AP53" s="93"/>
      <c r="AQ53" s="93"/>
    </row>
    <row r="54" spans="2:43" s="19" customFormat="1" ht="19.95" customHeight="1" x14ac:dyDescent="0.25">
      <c r="B54" s="22"/>
      <c r="C54" s="22"/>
      <c r="D54" s="22"/>
      <c r="E54" s="22"/>
      <c r="F54" s="103"/>
      <c r="G54" s="103"/>
      <c r="H54" s="103"/>
      <c r="I54" s="103"/>
      <c r="J54" s="103"/>
      <c r="K54" s="103"/>
      <c r="L54" s="97"/>
      <c r="M54" s="97"/>
      <c r="N54" s="79"/>
      <c r="O54" s="79"/>
      <c r="P54" s="79"/>
      <c r="Q54" s="80">
        <f>IF(AND(Индексы!B50,Результаты!B51=" ",Результаты!C51=" ",Результаты!D51=" ",Результаты!E51=" "),1,0)</f>
        <v>0</v>
      </c>
      <c r="R54" s="136">
        <f>MATCH(Породы!H4,Графики!$D$1:$D$33,1)</f>
        <v>17</v>
      </c>
      <c r="S54" s="136">
        <f>MATCH(Породы!H5,Графики!$D$1:$D$33,1)</f>
        <v>21</v>
      </c>
      <c r="T54" s="136"/>
      <c r="U54" s="136">
        <f>MATCH(Породы!H6,Графики!$D$1:$D$33,1)</f>
        <v>27</v>
      </c>
      <c r="V54" s="137"/>
      <c r="W54" s="136">
        <f>MATCH(Породы!H7,Графики!$D$1:$D$33,1)</f>
        <v>33</v>
      </c>
      <c r="X54" s="132" t="s">
        <v>95</v>
      </c>
      <c r="Y54" s="79"/>
      <c r="Z54" s="83"/>
      <c r="AA54" s="83"/>
      <c r="AB54" s="83"/>
      <c r="AC54" s="83"/>
      <c r="AD54" s="83"/>
      <c r="AE54" s="83"/>
      <c r="AF54" s="83"/>
      <c r="AG54" s="83"/>
      <c r="AH54" s="83"/>
      <c r="AI54" s="83"/>
      <c r="AJ54" s="83"/>
      <c r="AK54" s="83"/>
      <c r="AL54" s="83"/>
      <c r="AM54" s="93"/>
      <c r="AN54" s="93"/>
      <c r="AO54" s="93"/>
      <c r="AP54" s="93"/>
      <c r="AQ54" s="93"/>
    </row>
    <row r="55" spans="2:43" s="19" customFormat="1" ht="19.95" customHeight="1" x14ac:dyDescent="0.25">
      <c r="B55" s="22"/>
      <c r="C55" s="22"/>
      <c r="D55" s="22"/>
      <c r="E55" s="22"/>
      <c r="F55" s="103"/>
      <c r="G55" s="103"/>
      <c r="H55" s="103"/>
      <c r="I55" s="103"/>
      <c r="J55" s="103"/>
      <c r="K55" s="103"/>
      <c r="L55" s="97"/>
      <c r="M55" s="97"/>
      <c r="N55" s="79"/>
      <c r="O55" s="79"/>
      <c r="P55" s="79"/>
      <c r="Q55" s="80">
        <f>IF(AND(Индексы!B51,Результаты!B52=" ",Результаты!C52=" ",Результаты!D52=" ",Результаты!E52=" "),1,0)</f>
        <v>0</v>
      </c>
      <c r="R55" s="136"/>
      <c r="S55" s="136"/>
      <c r="T55" s="136"/>
      <c r="U55" s="136"/>
      <c r="V55" s="137"/>
      <c r="W55" s="136"/>
      <c r="X55" s="79"/>
      <c r="Y55" s="79"/>
      <c r="Z55" s="83"/>
      <c r="AA55" s="83"/>
      <c r="AB55" s="83"/>
      <c r="AC55" s="83"/>
      <c r="AD55" s="83"/>
      <c r="AE55" s="83"/>
      <c r="AF55" s="83"/>
      <c r="AG55" s="83"/>
      <c r="AH55" s="83"/>
      <c r="AI55" s="83"/>
      <c r="AJ55" s="83"/>
      <c r="AK55" s="83"/>
      <c r="AL55" s="83"/>
      <c r="AM55" s="93"/>
      <c r="AN55" s="93"/>
      <c r="AO55" s="93"/>
      <c r="AP55" s="93"/>
      <c r="AQ55" s="93"/>
    </row>
    <row r="56" spans="2:43" s="19" customFormat="1" ht="19.95" customHeight="1" x14ac:dyDescent="0.25">
      <c r="B56" s="22"/>
      <c r="C56" s="22"/>
      <c r="D56" s="22"/>
      <c r="E56" s="22"/>
      <c r="F56" s="103"/>
      <c r="G56" s="103"/>
      <c r="H56" s="103"/>
      <c r="I56" s="103"/>
      <c r="J56" s="103"/>
      <c r="K56" s="103"/>
      <c r="L56" s="97"/>
      <c r="M56" s="97"/>
      <c r="N56" s="79"/>
      <c r="O56" s="79"/>
      <c r="P56" s="79"/>
      <c r="Q56" s="80">
        <f>IF(AND(Индексы!B52,Результаты!B53=" ",Результаты!C53=" ",Результаты!D53=" ",Результаты!E53=" "),1,0)</f>
        <v>0</v>
      </c>
      <c r="R56" s="136">
        <f>MATCH(Породы!G4,Графики!$D$1:$D$33,1)</f>
        <v>2</v>
      </c>
      <c r="S56" s="136">
        <f>MATCH(Породы!G5,Графики!$D$1:$D$33,1)</f>
        <v>7</v>
      </c>
      <c r="T56" s="136"/>
      <c r="U56" s="136">
        <f>MATCH(Породы!G6,Графики!$D$1:$D$33,1)</f>
        <v>17</v>
      </c>
      <c r="V56" s="137"/>
      <c r="W56" s="135">
        <f>MATCH(Породы!G7,Графики!$D$1:$D$33,1)</f>
        <v>17</v>
      </c>
      <c r="X56" s="133" t="s">
        <v>96</v>
      </c>
      <c r="Y56" s="79"/>
      <c r="Z56" s="83"/>
      <c r="AA56" s="83"/>
      <c r="AB56" s="83"/>
      <c r="AC56" s="83"/>
      <c r="AD56" s="83"/>
      <c r="AE56" s="83"/>
      <c r="AF56" s="83"/>
      <c r="AG56" s="83"/>
      <c r="AH56" s="83"/>
      <c r="AI56" s="83"/>
      <c r="AJ56" s="83"/>
      <c r="AK56" s="83"/>
      <c r="AL56" s="83"/>
      <c r="AM56" s="93"/>
      <c r="AN56" s="93"/>
      <c r="AO56" s="93"/>
      <c r="AP56" s="93"/>
      <c r="AQ56" s="93"/>
    </row>
    <row r="57" spans="2:43" s="19" customFormat="1" ht="19.95" customHeight="1" x14ac:dyDescent="0.25">
      <c r="B57" s="22"/>
      <c r="C57" s="22"/>
      <c r="D57" s="22"/>
      <c r="E57" s="22"/>
      <c r="F57" s="103"/>
      <c r="G57" s="103"/>
      <c r="H57" s="103"/>
      <c r="I57" s="103"/>
      <c r="J57" s="103"/>
      <c r="K57" s="103"/>
      <c r="L57" s="97"/>
      <c r="M57" s="97"/>
      <c r="N57" s="79"/>
      <c r="O57" s="79"/>
      <c r="P57" s="79"/>
      <c r="Q57" s="80">
        <f>IF(AND(Индексы!B53,Результаты!B54=" ",Результаты!C54=" ",Результаты!D54=" ",Результаты!E54=" "),1,0)</f>
        <v>0</v>
      </c>
      <c r="R57" s="136"/>
      <c r="S57" s="136"/>
      <c r="T57" s="136"/>
      <c r="U57" s="136"/>
      <c r="V57" s="137"/>
      <c r="W57" s="136"/>
      <c r="X57" s="79"/>
      <c r="Y57" s="79"/>
      <c r="Z57" s="83"/>
      <c r="AA57" s="83"/>
      <c r="AB57" s="83"/>
      <c r="AC57" s="83"/>
      <c r="AD57" s="83"/>
      <c r="AE57" s="83"/>
      <c r="AF57" s="83"/>
      <c r="AG57" s="83"/>
      <c r="AH57" s="83"/>
      <c r="AI57" s="83"/>
      <c r="AJ57" s="83"/>
      <c r="AK57" s="83"/>
      <c r="AL57" s="83"/>
      <c r="AM57" s="93"/>
      <c r="AN57" s="93"/>
      <c r="AO57" s="93"/>
      <c r="AP57" s="93"/>
      <c r="AQ57" s="93"/>
    </row>
    <row r="58" spans="2:43" s="19" customFormat="1" x14ac:dyDescent="0.25">
      <c r="B58" s="21"/>
      <c r="C58" s="20"/>
      <c r="D58" s="20"/>
      <c r="E58" s="20"/>
      <c r="F58" s="96"/>
      <c r="G58" s="96"/>
      <c r="H58" s="97"/>
      <c r="I58" s="97"/>
      <c r="J58" s="97"/>
      <c r="K58" s="97"/>
      <c r="L58" s="97"/>
      <c r="M58" s="97"/>
      <c r="N58" s="79"/>
      <c r="O58" s="79"/>
      <c r="P58" s="79"/>
      <c r="Q58" s="80">
        <f>IF(AND(Индексы!B54,Результаты!B55=" ",Результаты!C55=" ",Результаты!D55=" ",Результаты!E55=" "),1,0)</f>
        <v>0</v>
      </c>
      <c r="R58" s="136">
        <f ca="1">SUM(OFFSET(Графики!$E$1,R54+3,0):OFFSET(Графики!$E$1,30,0))</f>
        <v>0</v>
      </c>
      <c r="S58" s="136">
        <f ca="1">SUM(OFFSET(Графики!$E$1,S54+3,0):OFFSET(Графики!$E$1,30,0))</f>
        <v>0</v>
      </c>
      <c r="T58" s="136">
        <f ca="1">SUM(OFFSET(Графики!$E$1,R56,0):OFFSET(Графики!$E$1,S56-4,0))</f>
        <v>0</v>
      </c>
      <c r="U58" s="136">
        <f ca="1">SUM(OFFSET(Графики!$E$1,U54+3,0):OFFSET(Графики!$E$1,30,0))</f>
        <v>0</v>
      </c>
      <c r="V58" s="136">
        <f ca="1">SUM(OFFSET(Графики!$E$1,R56,0):OFFSET(Графики!$E$1,U56-4,0))</f>
        <v>13</v>
      </c>
      <c r="W58" s="136">
        <f ca="1">SUM(OFFSET(Графики!$E$1,1,0):OFFSET(Графики!$E$1,W56-4,0))</f>
        <v>13</v>
      </c>
      <c r="X58" s="133" t="s">
        <v>100</v>
      </c>
      <c r="Y58" s="79"/>
      <c r="Z58" s="83"/>
      <c r="AA58" s="83"/>
      <c r="AB58" s="83"/>
      <c r="AC58" s="83"/>
      <c r="AD58" s="83"/>
      <c r="AE58" s="83"/>
      <c r="AF58" s="83"/>
      <c r="AG58" s="83"/>
      <c r="AH58" s="83"/>
      <c r="AI58" s="83"/>
      <c r="AJ58" s="83"/>
      <c r="AK58" s="83"/>
      <c r="AL58" s="83"/>
      <c r="AM58" s="93"/>
      <c r="AN58" s="93"/>
      <c r="AO58" s="93"/>
      <c r="AP58" s="93"/>
      <c r="AQ58" s="93"/>
    </row>
    <row r="59" spans="2:43" s="19" customFormat="1" ht="19.95" customHeight="1" x14ac:dyDescent="0.25">
      <c r="B59" s="22"/>
      <c r="C59" s="22"/>
      <c r="D59" s="22"/>
      <c r="E59" s="22"/>
      <c r="F59" s="103"/>
      <c r="G59" s="103"/>
      <c r="H59" s="103"/>
      <c r="I59" s="103"/>
      <c r="J59" s="103"/>
      <c r="K59" s="103"/>
      <c r="L59" s="97"/>
      <c r="M59" s="97"/>
      <c r="N59" s="79"/>
      <c r="O59" s="79"/>
      <c r="P59" s="79"/>
      <c r="Q59" s="80">
        <f>IF(AND(Индексы!B54,Результаты!B55=" ",Результаты!C55=" ",Результаты!D55=" ",Результаты!E55=" "),1,0)</f>
        <v>0</v>
      </c>
      <c r="R59" s="136">
        <f ca="1">SUM(OFFSET(Графики!$E$1,R54,0):OFFSET(Графики!$E$1,R54+2,0))</f>
        <v>0</v>
      </c>
      <c r="S59" s="136">
        <f ca="1">SUM(OFFSET(Графики!$E$1,S54,0):OFFSET(Графики!$E$1,S54+2,0))</f>
        <v>0</v>
      </c>
      <c r="T59" s="136">
        <f ca="1">SUM(OFFSET(Графики!$E$1,S56-3,0):OFFSET(Графики!$E$1,S56-1,0))</f>
        <v>2</v>
      </c>
      <c r="U59" s="136">
        <f ca="1">SUM(OFFSET(Графики!$E$1,U54,0):OFFSET(Графики!$E$1,U54+2,0))</f>
        <v>0</v>
      </c>
      <c r="V59" s="136">
        <f ca="1">SUM(OFFSET(Графики!$E$1,U56-3,0):OFFSET(Графики!$E$1,U56-1,0))</f>
        <v>0</v>
      </c>
      <c r="W59" s="136">
        <f ca="1">SUM(OFFSET(Графики!$E$1,W56-3,0):OFFSET(Графики!$E$1,W56-1,0))</f>
        <v>0</v>
      </c>
      <c r="X59" s="133" t="s">
        <v>113</v>
      </c>
      <c r="Y59" s="79"/>
      <c r="Z59" s="83"/>
      <c r="AA59" s="83"/>
      <c r="AB59" s="83"/>
      <c r="AC59" s="83"/>
      <c r="AD59" s="83"/>
      <c r="AE59" s="83"/>
      <c r="AF59" s="83"/>
      <c r="AG59" s="83"/>
      <c r="AH59" s="83"/>
      <c r="AI59" s="83"/>
      <c r="AJ59" s="83"/>
      <c r="AK59" s="83"/>
      <c r="AL59" s="83"/>
      <c r="AM59" s="93"/>
      <c r="AN59" s="93"/>
      <c r="AO59" s="93"/>
      <c r="AP59" s="93"/>
      <c r="AQ59" s="93"/>
    </row>
    <row r="60" spans="2:43" ht="19.95" customHeight="1" x14ac:dyDescent="0.25">
      <c r="B60" s="22"/>
      <c r="C60" s="22"/>
      <c r="D60" s="22"/>
      <c r="E60" s="22"/>
      <c r="F60" s="103"/>
      <c r="G60" s="103"/>
      <c r="H60" s="103"/>
      <c r="I60" s="103"/>
      <c r="J60" s="103"/>
      <c r="K60" s="103"/>
      <c r="L60" s="104"/>
      <c r="M60" s="104"/>
      <c r="N60" s="79"/>
      <c r="O60" s="79"/>
      <c r="P60" s="79"/>
      <c r="Q60" s="80">
        <f>IF(AND(Индексы!B55,Результаты!B56=" ",Результаты!C56=" ",Результаты!D56=" ",Результаты!E56=" "),1,0)</f>
        <v>0</v>
      </c>
      <c r="R60" s="79"/>
      <c r="S60" s="79"/>
      <c r="T60" s="79"/>
      <c r="U60" s="79"/>
      <c r="V60" s="125"/>
      <c r="W60" s="79"/>
      <c r="X60" s="79"/>
      <c r="Y60" s="81"/>
    </row>
    <row r="61" spans="2:43" ht="19.95" customHeight="1" x14ac:dyDescent="0.25">
      <c r="B61" s="22"/>
      <c r="C61" s="22"/>
      <c r="D61" s="22"/>
      <c r="E61" s="22"/>
      <c r="F61" s="103"/>
      <c r="G61" s="103"/>
      <c r="H61" s="103"/>
      <c r="I61" s="103"/>
      <c r="J61" s="103"/>
      <c r="K61" s="103"/>
      <c r="L61" s="104"/>
      <c r="M61" s="104"/>
      <c r="N61" s="79"/>
      <c r="O61" s="79"/>
      <c r="P61" s="79"/>
      <c r="Q61" s="80">
        <f>IF(AND(Индексы!B56,Результаты!B57=" ",Результаты!C57=" ",Результаты!D57=" ",Результаты!E57=" "),1,0)</f>
        <v>0</v>
      </c>
      <c r="R61" s="79"/>
      <c r="S61" s="79"/>
      <c r="T61" s="79"/>
      <c r="U61" s="79"/>
      <c r="V61" s="125"/>
      <c r="W61" s="79"/>
      <c r="X61" s="79"/>
      <c r="Y61" s="81"/>
    </row>
    <row r="62" spans="2:43" ht="19.95" customHeight="1" x14ac:dyDescent="0.25">
      <c r="B62" s="22"/>
      <c r="C62" s="22"/>
      <c r="D62" s="22"/>
      <c r="E62" s="22"/>
      <c r="F62" s="103"/>
      <c r="G62" s="103"/>
      <c r="H62" s="103"/>
      <c r="I62" s="103"/>
      <c r="J62" s="103"/>
      <c r="K62" s="103"/>
      <c r="L62" s="104"/>
      <c r="M62" s="104"/>
      <c r="N62" s="79"/>
      <c r="O62" s="79"/>
      <c r="P62" s="79"/>
      <c r="Q62" s="80">
        <f>IF(AND(Индексы!B57,Результаты!B58=" ",Результаты!C58=" ",Результаты!D58=" ",Результаты!E58=" "),1,0)</f>
        <v>0</v>
      </c>
      <c r="R62" s="79"/>
      <c r="S62" s="79"/>
      <c r="T62" s="79"/>
      <c r="U62" s="79"/>
      <c r="V62" s="125"/>
      <c r="W62" s="79"/>
      <c r="X62" s="79"/>
      <c r="Y62" s="81"/>
    </row>
    <row r="63" spans="2:43" ht="19.95" customHeight="1" x14ac:dyDescent="0.25">
      <c r="B63" s="22"/>
      <c r="C63" s="22"/>
      <c r="D63" s="22"/>
      <c r="E63" s="22"/>
      <c r="F63" s="103"/>
      <c r="G63" s="103"/>
      <c r="H63" s="103"/>
      <c r="I63" s="103"/>
      <c r="J63" s="103"/>
      <c r="K63" s="103"/>
      <c r="L63" s="104"/>
      <c r="M63" s="104"/>
      <c r="N63" s="79"/>
      <c r="O63" s="79"/>
      <c r="P63" s="79"/>
      <c r="Q63" s="80">
        <f>IF(AND(Индексы!B58,Результаты!B59=" ",Результаты!C59=" ",Результаты!D59=" ",Результаты!E59=" "),1,0)</f>
        <v>0</v>
      </c>
      <c r="R63" s="79"/>
      <c r="S63" s="79"/>
      <c r="T63" s="79"/>
      <c r="U63" s="79"/>
      <c r="V63" s="125"/>
      <c r="W63" s="79"/>
      <c r="X63" s="79"/>
      <c r="Y63" s="81"/>
    </row>
    <row r="64" spans="2:43" ht="19.95" customHeight="1" x14ac:dyDescent="0.25">
      <c r="B64" s="22"/>
      <c r="C64" s="22"/>
      <c r="D64" s="22"/>
      <c r="E64" s="22"/>
      <c r="F64" s="103"/>
      <c r="G64" s="103"/>
      <c r="H64" s="103"/>
      <c r="I64" s="103"/>
      <c r="J64" s="103"/>
      <c r="K64" s="103"/>
      <c r="L64" s="104"/>
      <c r="M64" s="104"/>
      <c r="N64" s="79"/>
      <c r="O64" s="79"/>
      <c r="P64" s="79"/>
      <c r="Q64" s="80">
        <f>IF(AND(Индексы!B59,Результаты!B60=" ",Результаты!C60=" ",Результаты!D60=" ",Результаты!E60=" "),1,0)</f>
        <v>0</v>
      </c>
      <c r="R64" s="79"/>
      <c r="S64" s="79"/>
      <c r="T64" s="79"/>
      <c r="U64" s="79"/>
      <c r="V64" s="125"/>
      <c r="W64" s="79"/>
      <c r="X64" s="79"/>
      <c r="Y64" s="81"/>
    </row>
    <row r="65" spans="2:25" ht="19.95" customHeight="1" x14ac:dyDescent="0.25">
      <c r="B65" s="22"/>
      <c r="C65" s="22"/>
      <c r="D65" s="22"/>
      <c r="E65" s="22"/>
      <c r="F65" s="103"/>
      <c r="G65" s="103"/>
      <c r="H65" s="103"/>
      <c r="I65" s="103"/>
      <c r="J65" s="103"/>
      <c r="K65" s="103"/>
      <c r="L65" s="104"/>
      <c r="M65" s="104"/>
      <c r="N65" s="79"/>
      <c r="O65" s="79"/>
      <c r="P65" s="79"/>
      <c r="Q65" s="80">
        <f>IF(AND(Индексы!B60,Результаты!B61=" ",Результаты!C61=" ",Результаты!D61=" ",Результаты!E61=" "),1,0)</f>
        <v>0</v>
      </c>
      <c r="R65" s="79"/>
      <c r="S65" s="79"/>
      <c r="T65" s="79"/>
      <c r="U65" s="79"/>
      <c r="V65" s="125"/>
      <c r="W65" s="79"/>
      <c r="X65" s="79"/>
      <c r="Y65" s="81"/>
    </row>
    <row r="66" spans="2:25" ht="19.95" customHeight="1" x14ac:dyDescent="0.25">
      <c r="B66" s="22"/>
      <c r="C66" s="22"/>
      <c r="D66" s="22"/>
      <c r="E66" s="22"/>
      <c r="F66" s="103"/>
      <c r="G66" s="103"/>
      <c r="H66" s="103"/>
      <c r="I66" s="103"/>
      <c r="J66" s="103"/>
      <c r="K66" s="103"/>
      <c r="L66" s="104"/>
      <c r="M66" s="104"/>
      <c r="N66" s="79"/>
      <c r="O66" s="79"/>
      <c r="P66" s="79"/>
      <c r="Q66" s="80">
        <f>IF(AND(Индексы!B61,Результаты!B62=" ",Результаты!C62=" ",Результаты!D62=" ",Результаты!E62=" "),1,0)</f>
        <v>0</v>
      </c>
      <c r="R66" s="79"/>
      <c r="S66" s="79"/>
      <c r="T66" s="79"/>
      <c r="U66" s="79"/>
      <c r="V66" s="125"/>
      <c r="W66" s="79"/>
      <c r="X66" s="79"/>
      <c r="Y66" s="81"/>
    </row>
    <row r="67" spans="2:25" ht="19.95" customHeight="1" x14ac:dyDescent="0.25">
      <c r="B67" s="22"/>
      <c r="C67" s="22"/>
      <c r="D67" s="22"/>
      <c r="E67" s="22"/>
      <c r="F67" s="103"/>
      <c r="G67" s="103"/>
      <c r="H67" s="103"/>
      <c r="I67" s="103"/>
      <c r="J67" s="103"/>
      <c r="K67" s="103"/>
      <c r="L67" s="104"/>
      <c r="M67" s="104"/>
      <c r="N67" s="79"/>
      <c r="O67" s="79"/>
      <c r="P67" s="79"/>
      <c r="Q67" s="80">
        <f>IF(AND(Индексы!B62,Результаты!B63=" ",Результаты!C63=" ",Результаты!D63=" ",Результаты!E63=" "),1,0)</f>
        <v>0</v>
      </c>
      <c r="R67" s="79"/>
      <c r="S67" s="79"/>
      <c r="T67" s="79"/>
      <c r="U67" s="79"/>
      <c r="V67" s="125"/>
      <c r="W67" s="79"/>
      <c r="X67" s="79"/>
      <c r="Y67" s="81"/>
    </row>
    <row r="68" spans="2:25" ht="12.45" customHeight="1" x14ac:dyDescent="0.25">
      <c r="B68" s="22"/>
      <c r="C68" s="22"/>
      <c r="D68" s="22"/>
      <c r="E68" s="22"/>
      <c r="F68" s="87"/>
      <c r="G68" s="87"/>
      <c r="H68" s="87"/>
      <c r="I68" s="87"/>
      <c r="J68" s="87"/>
      <c r="K68" s="87"/>
      <c r="N68" s="79"/>
      <c r="O68" s="79"/>
      <c r="P68" s="79"/>
      <c r="Q68" s="80">
        <f>IF(AND(Индексы!B63,Результаты!B64=" ",Результаты!C64=" ",Результаты!D64=" ",Результаты!E64=" "),1,0)</f>
        <v>0</v>
      </c>
      <c r="R68" s="79"/>
      <c r="S68" s="79"/>
      <c r="T68" s="79"/>
      <c r="U68" s="79"/>
      <c r="V68" s="125"/>
      <c r="W68" s="79"/>
      <c r="X68" s="79"/>
      <c r="Y68" s="81"/>
    </row>
    <row r="69" spans="2:25" ht="12.45" customHeight="1" x14ac:dyDescent="0.25">
      <c r="B69" s="22"/>
      <c r="C69" s="22"/>
      <c r="D69" s="22"/>
      <c r="E69" s="22"/>
      <c r="F69" s="87"/>
      <c r="G69" s="87"/>
      <c r="H69" s="87"/>
      <c r="N69" s="79"/>
      <c r="O69" s="79"/>
      <c r="P69" s="79"/>
      <c r="Q69" s="80">
        <f>IF(AND(Индексы!B64,Результаты!B65=" ",Результаты!C65=" ",Результаты!D65=" ",Результаты!E65=" "),1,0)</f>
        <v>0</v>
      </c>
      <c r="R69" s="79"/>
      <c r="S69" s="79"/>
      <c r="T69" s="79"/>
      <c r="U69" s="79"/>
      <c r="V69" s="125"/>
      <c r="W69" s="79"/>
      <c r="X69" s="79"/>
      <c r="Y69" s="81"/>
    </row>
    <row r="70" spans="2:25" ht="12.45" customHeight="1" x14ac:dyDescent="0.25">
      <c r="B70" s="22"/>
      <c r="C70" s="22"/>
      <c r="D70" s="22"/>
      <c r="E70" s="22"/>
      <c r="F70" s="87"/>
      <c r="G70" s="87"/>
      <c r="H70" s="87"/>
      <c r="N70" s="79"/>
      <c r="O70" s="79"/>
      <c r="P70" s="79"/>
      <c r="Q70" s="80">
        <f>IF(AND(Индексы!B65,Результаты!B66=" ",Результаты!C66=" ",Результаты!D66=" ",Результаты!E66=" "),1,0)</f>
        <v>0</v>
      </c>
      <c r="R70" s="79"/>
      <c r="S70" s="79"/>
      <c r="T70" s="79"/>
      <c r="U70" s="79"/>
      <c r="V70" s="125"/>
      <c r="W70" s="79"/>
      <c r="X70" s="79"/>
      <c r="Y70" s="81"/>
    </row>
    <row r="71" spans="2:25" ht="12.45" customHeight="1" x14ac:dyDescent="0.25">
      <c r="B71" s="22"/>
      <c r="C71" s="22"/>
      <c r="D71" s="22"/>
      <c r="E71" s="22"/>
      <c r="F71" s="87"/>
      <c r="G71" s="87"/>
      <c r="H71" s="87"/>
      <c r="N71" s="79"/>
      <c r="O71" s="79"/>
      <c r="P71" s="79"/>
      <c r="Q71" s="80">
        <f>IF(AND(Индексы!B66,Результаты!B67=" ",Результаты!C67=" ",Результаты!D67=" ",Результаты!E67=" "),1,0)</f>
        <v>0</v>
      </c>
      <c r="R71" s="79"/>
      <c r="S71" s="79"/>
      <c r="T71" s="79"/>
      <c r="U71" s="79"/>
      <c r="V71" s="125"/>
      <c r="W71" s="79"/>
      <c r="X71" s="79"/>
      <c r="Y71" s="81"/>
    </row>
    <row r="72" spans="2:25" ht="12.45" customHeight="1" x14ac:dyDescent="0.25">
      <c r="B72" s="22"/>
      <c r="C72" s="22"/>
      <c r="D72" s="22"/>
      <c r="E72" s="22"/>
      <c r="F72" s="87"/>
      <c r="G72" s="87"/>
      <c r="H72" s="87"/>
      <c r="N72" s="79"/>
      <c r="O72" s="79"/>
      <c r="P72" s="79"/>
      <c r="Q72" s="80">
        <f>IF(AND(Индексы!B67,Результаты!B68=" ",Результаты!C68=" ",Результаты!D68=" ",Результаты!E68=" "),1,0)</f>
        <v>0</v>
      </c>
      <c r="R72" s="79"/>
      <c r="S72" s="79"/>
      <c r="T72" s="79"/>
      <c r="U72" s="79"/>
      <c r="V72" s="125"/>
      <c r="W72" s="79"/>
      <c r="X72" s="79"/>
      <c r="Y72" s="81"/>
    </row>
    <row r="73" spans="2:25" ht="12.45" customHeight="1" x14ac:dyDescent="0.25">
      <c r="B73" s="22"/>
      <c r="C73" s="22"/>
      <c r="D73" s="22"/>
      <c r="E73" s="22"/>
      <c r="F73" s="87"/>
      <c r="G73" s="87"/>
      <c r="H73" s="87"/>
      <c r="N73" s="79"/>
      <c r="O73" s="79"/>
      <c r="P73" s="79"/>
      <c r="Q73" s="80">
        <f>IF(AND(Индексы!B68,Результаты!B69=" ",Результаты!C69=" ",Результаты!D69=" ",Результаты!E69=" "),1,0)</f>
        <v>0</v>
      </c>
      <c r="R73" s="79"/>
      <c r="S73" s="79"/>
      <c r="T73" s="79"/>
      <c r="U73" s="79"/>
      <c r="V73" s="125"/>
      <c r="W73" s="79"/>
      <c r="X73" s="79"/>
      <c r="Y73" s="81"/>
    </row>
    <row r="74" spans="2:25" ht="12.45" customHeight="1" x14ac:dyDescent="0.25">
      <c r="B74" s="22"/>
      <c r="C74" s="22"/>
      <c r="D74" s="22"/>
      <c r="E74" s="22"/>
      <c r="F74" s="87"/>
      <c r="G74" s="87"/>
      <c r="H74" s="87"/>
      <c r="N74" s="79"/>
      <c r="O74" s="79"/>
      <c r="P74" s="79"/>
      <c r="Q74" s="80">
        <f>IF(AND(Индексы!B69,Результаты!B70=" ",Результаты!C70=" ",Результаты!D70=" ",Результаты!E70=" "),1,0)</f>
        <v>0</v>
      </c>
      <c r="R74" s="79"/>
      <c r="S74" s="79"/>
      <c r="T74" s="79"/>
      <c r="U74" s="79"/>
      <c r="V74" s="125"/>
      <c r="W74" s="79"/>
      <c r="X74" s="79"/>
      <c r="Y74" s="81"/>
    </row>
    <row r="75" spans="2:25" ht="12.45" customHeight="1" x14ac:dyDescent="0.25">
      <c r="B75" s="22"/>
      <c r="C75" s="22"/>
      <c r="D75" s="22"/>
      <c r="E75" s="22"/>
      <c r="F75" s="87"/>
      <c r="G75" s="87"/>
      <c r="H75" s="87"/>
      <c r="N75" s="79"/>
      <c r="O75" s="79"/>
      <c r="P75" s="79"/>
      <c r="Q75" s="80">
        <f>IF(AND(Индексы!B70,Результаты!B71=" ",Результаты!C71=" ",Результаты!D71=" ",Результаты!E71=" "),1,0)</f>
        <v>0</v>
      </c>
      <c r="R75" s="79"/>
      <c r="S75" s="79"/>
      <c r="T75" s="79"/>
      <c r="U75" s="79"/>
      <c r="V75" s="125"/>
      <c r="W75" s="79"/>
      <c r="X75" s="79"/>
      <c r="Y75" s="81"/>
    </row>
    <row r="76" spans="2:25" ht="12.45" customHeight="1" x14ac:dyDescent="0.25">
      <c r="B76" s="22"/>
      <c r="C76" s="22"/>
      <c r="D76" s="22"/>
      <c r="E76" s="22"/>
      <c r="F76" s="87"/>
      <c r="G76" s="87"/>
      <c r="H76" s="87"/>
      <c r="N76" s="79"/>
      <c r="O76" s="79"/>
      <c r="P76" s="79"/>
      <c r="Q76" s="80">
        <f>IF(AND(Индексы!B71,Результаты!B72=" ",Результаты!C72=" ",Результаты!D72=" ",Результаты!E72=" "),1,0)</f>
        <v>0</v>
      </c>
      <c r="R76" s="79"/>
      <c r="S76" s="79"/>
      <c r="T76" s="79"/>
      <c r="U76" s="79"/>
      <c r="V76" s="125"/>
      <c r="W76" s="79"/>
      <c r="X76" s="79"/>
      <c r="Y76" s="81"/>
    </row>
    <row r="77" spans="2:25" ht="12.45" customHeight="1" x14ac:dyDescent="0.25">
      <c r="B77" s="22"/>
      <c r="C77" s="22"/>
      <c r="D77" s="22"/>
      <c r="E77" s="22"/>
      <c r="F77" s="87"/>
      <c r="G77" s="87"/>
      <c r="H77" s="87"/>
      <c r="N77" s="79"/>
      <c r="O77" s="79"/>
      <c r="P77" s="79"/>
      <c r="Q77" s="80">
        <f>IF(AND(Индексы!B72,Результаты!B73=" ",Результаты!C73=" ",Результаты!D73=" ",Результаты!E73=" "),1,0)</f>
        <v>0</v>
      </c>
      <c r="R77" s="79"/>
      <c r="S77" s="79"/>
      <c r="T77" s="79"/>
      <c r="U77" s="79"/>
      <c r="V77" s="125"/>
      <c r="W77" s="79"/>
      <c r="X77" s="79"/>
      <c r="Y77" s="81"/>
    </row>
    <row r="78" spans="2:25" ht="12.45" customHeight="1" x14ac:dyDescent="0.25">
      <c r="B78" s="22"/>
      <c r="C78" s="22"/>
      <c r="D78" s="22"/>
      <c r="E78" s="22"/>
      <c r="F78" s="87"/>
      <c r="G78" s="87"/>
      <c r="H78" s="87"/>
      <c r="N78" s="79"/>
      <c r="O78" s="79"/>
      <c r="P78" s="79"/>
      <c r="Q78" s="80">
        <f>IF(AND(Индексы!B73,Результаты!B74=" ",Результаты!C74=" ",Результаты!D74=" ",Результаты!E74=" "),1,0)</f>
        <v>0</v>
      </c>
      <c r="R78" s="79"/>
      <c r="S78" s="79"/>
      <c r="T78" s="79"/>
      <c r="U78" s="79"/>
      <c r="V78" s="125"/>
      <c r="W78" s="79"/>
      <c r="X78" s="79"/>
      <c r="Y78" s="81"/>
    </row>
    <row r="79" spans="2:25" ht="12.45" customHeight="1" x14ac:dyDescent="0.25">
      <c r="B79" s="22"/>
      <c r="C79" s="22"/>
      <c r="D79" s="22"/>
      <c r="E79" s="22"/>
      <c r="F79" s="87"/>
      <c r="G79" s="87"/>
      <c r="H79" s="87"/>
      <c r="N79" s="79"/>
      <c r="O79" s="79"/>
      <c r="P79" s="79"/>
      <c r="Q79" s="80">
        <f>IF(AND(Индексы!B74,Результаты!B75=" ",Результаты!C75=" ",Результаты!D75=" ",Результаты!E75=" "),1,0)</f>
        <v>0</v>
      </c>
      <c r="R79" s="79"/>
      <c r="S79" s="79"/>
      <c r="T79" s="79"/>
      <c r="U79" s="79"/>
      <c r="V79" s="125"/>
      <c r="W79" s="79"/>
      <c r="X79" s="79"/>
      <c r="Y79" s="81"/>
    </row>
    <row r="80" spans="2:25" ht="12.45" customHeight="1" x14ac:dyDescent="0.25">
      <c r="B80" s="22"/>
      <c r="C80" s="22"/>
      <c r="D80" s="22"/>
      <c r="E80" s="22"/>
      <c r="F80" s="87"/>
      <c r="G80" s="87"/>
      <c r="H80" s="87"/>
      <c r="N80" s="79"/>
      <c r="O80" s="79"/>
      <c r="P80" s="79"/>
      <c r="Q80" s="80">
        <f>IF(AND(Индексы!B75,Результаты!B76=" ",Результаты!C76=" ",Результаты!D76=" ",Результаты!E76=" "),1,0)</f>
        <v>0</v>
      </c>
      <c r="R80" s="79"/>
      <c r="S80" s="79"/>
      <c r="T80" s="79"/>
      <c r="U80" s="79"/>
      <c r="V80" s="125"/>
      <c r="W80" s="79"/>
      <c r="X80" s="79"/>
      <c r="Y80" s="81"/>
    </row>
    <row r="81" spans="2:25" ht="12.45" customHeight="1" x14ac:dyDescent="0.25">
      <c r="B81" s="22"/>
      <c r="C81" s="22"/>
      <c r="D81" s="22"/>
      <c r="E81" s="22"/>
      <c r="F81" s="87"/>
      <c r="G81" s="87"/>
      <c r="H81" s="87"/>
      <c r="N81" s="79"/>
      <c r="O81" s="79"/>
      <c r="P81" s="79"/>
      <c r="Q81" s="80">
        <f>IF(AND(Индексы!B76,Результаты!B77=" ",Результаты!C77=" ",Результаты!D77=" ",Результаты!E77=" "),1,0)</f>
        <v>0</v>
      </c>
      <c r="R81" s="79"/>
      <c r="S81" s="79"/>
      <c r="T81" s="79"/>
      <c r="U81" s="79"/>
      <c r="V81" s="125"/>
      <c r="W81" s="79"/>
      <c r="X81" s="79"/>
      <c r="Y81" s="81"/>
    </row>
    <row r="82" spans="2:25" ht="12.45" customHeight="1" x14ac:dyDescent="0.25">
      <c r="B82" s="22"/>
      <c r="C82" s="22"/>
      <c r="D82" s="22"/>
      <c r="E82" s="22"/>
      <c r="F82" s="87"/>
      <c r="G82" s="87"/>
      <c r="H82" s="87"/>
      <c r="N82" s="79"/>
      <c r="O82" s="79"/>
      <c r="P82" s="79"/>
      <c r="Q82" s="80">
        <f>IF(AND(Индексы!B77,Результаты!B78=" ",Результаты!C78=" ",Результаты!D78=" ",Результаты!E78=" "),1,0)</f>
        <v>0</v>
      </c>
      <c r="R82" s="79"/>
      <c r="S82" s="79"/>
      <c r="T82" s="79"/>
      <c r="U82" s="79"/>
      <c r="V82" s="125"/>
      <c r="W82" s="79"/>
      <c r="X82" s="79"/>
      <c r="Y82" s="81"/>
    </row>
    <row r="83" spans="2:25" ht="12.45" customHeight="1" x14ac:dyDescent="0.25">
      <c r="B83" s="22"/>
      <c r="C83" s="22"/>
      <c r="D83" s="22"/>
      <c r="E83" s="22"/>
      <c r="F83" s="87"/>
      <c r="G83" s="87"/>
      <c r="H83" s="87"/>
      <c r="N83" s="79"/>
      <c r="O83" s="79"/>
      <c r="P83" s="79"/>
      <c r="Q83" s="80">
        <f>IF(AND(Индексы!B78,Результаты!B79=" ",Результаты!C79=" ",Результаты!D79=" ",Результаты!E79=" "),1,0)</f>
        <v>0</v>
      </c>
      <c r="R83" s="79"/>
      <c r="S83" s="79"/>
      <c r="T83" s="79"/>
      <c r="U83" s="79"/>
      <c r="V83" s="125"/>
      <c r="W83" s="79"/>
      <c r="X83" s="79"/>
      <c r="Y83" s="81"/>
    </row>
    <row r="84" spans="2:25" ht="12.45" customHeight="1" x14ac:dyDescent="0.25">
      <c r="B84" s="22"/>
      <c r="C84" s="22"/>
      <c r="D84" s="22"/>
      <c r="E84" s="22"/>
      <c r="F84" s="87"/>
      <c r="G84" s="87"/>
      <c r="H84" s="87"/>
      <c r="N84" s="79"/>
      <c r="O84" s="79"/>
      <c r="P84" s="79"/>
      <c r="Q84" s="80">
        <f>IF(AND(Индексы!B79,Результаты!B80=" ",Результаты!C80=" ",Результаты!D80=" ",Результаты!E80=" "),1,0)</f>
        <v>0</v>
      </c>
      <c r="R84" s="79"/>
      <c r="S84" s="79"/>
      <c r="T84" s="79"/>
      <c r="U84" s="79"/>
      <c r="V84" s="125"/>
      <c r="W84" s="79"/>
      <c r="X84" s="79"/>
      <c r="Y84" s="81"/>
    </row>
    <row r="85" spans="2:25" ht="12.45" customHeight="1" x14ac:dyDescent="0.25">
      <c r="B85" s="22"/>
      <c r="C85" s="22"/>
      <c r="D85" s="22"/>
      <c r="E85" s="22"/>
      <c r="F85" s="87"/>
      <c r="G85" s="87"/>
      <c r="H85" s="87"/>
      <c r="N85" s="79"/>
      <c r="O85" s="79"/>
      <c r="P85" s="79"/>
      <c r="Q85" s="80">
        <f>IF(AND(Индексы!B80,Результаты!B81=" ",Результаты!C81=" ",Результаты!D81=" ",Результаты!E81=" "),1,0)</f>
        <v>0</v>
      </c>
      <c r="R85" s="79"/>
      <c r="S85" s="79"/>
      <c r="T85" s="79"/>
      <c r="U85" s="79"/>
      <c r="V85" s="125"/>
      <c r="W85" s="79"/>
      <c r="X85" s="79"/>
      <c r="Y85" s="81"/>
    </row>
    <row r="86" spans="2:25" ht="12.45" customHeight="1" x14ac:dyDescent="0.25">
      <c r="B86" s="22"/>
      <c r="C86" s="22"/>
      <c r="D86" s="22"/>
      <c r="E86" s="22"/>
      <c r="F86" s="87"/>
      <c r="G86" s="87"/>
      <c r="H86" s="87"/>
      <c r="N86" s="79"/>
      <c r="O86" s="79"/>
      <c r="P86" s="79"/>
      <c r="Q86" s="80">
        <f>IF(AND(Индексы!B81,Результаты!B82=" ",Результаты!C82=" ",Результаты!D82=" ",Результаты!E82=" "),1,0)</f>
        <v>0</v>
      </c>
      <c r="R86" s="79"/>
      <c r="S86" s="79"/>
      <c r="T86" s="79"/>
      <c r="U86" s="79"/>
      <c r="V86" s="125"/>
      <c r="W86" s="79"/>
      <c r="X86" s="79"/>
      <c r="Y86" s="81"/>
    </row>
    <row r="87" spans="2:25" ht="12.45" customHeight="1" x14ac:dyDescent="0.25">
      <c r="B87" s="22"/>
      <c r="C87" s="22"/>
      <c r="D87" s="22"/>
      <c r="E87" s="22"/>
      <c r="F87" s="87"/>
      <c r="G87" s="87"/>
      <c r="H87" s="87"/>
      <c r="N87" s="79"/>
      <c r="O87" s="79"/>
      <c r="P87" s="79"/>
      <c r="Q87" s="80">
        <f>IF(AND(Индексы!B82,Результаты!B83=" ",Результаты!C83=" ",Результаты!D83=" ",Результаты!E83=" "),1,0)</f>
        <v>0</v>
      </c>
      <c r="R87" s="79"/>
      <c r="S87" s="79"/>
      <c r="T87" s="79"/>
      <c r="U87" s="79"/>
      <c r="V87" s="125"/>
      <c r="W87" s="79"/>
      <c r="X87" s="79"/>
      <c r="Y87" s="81"/>
    </row>
    <row r="88" spans="2:25" ht="12.45" customHeight="1" x14ac:dyDescent="0.25">
      <c r="B88" s="22"/>
      <c r="C88" s="22"/>
      <c r="D88" s="22"/>
      <c r="E88" s="22"/>
      <c r="F88" s="87"/>
      <c r="G88" s="87"/>
      <c r="H88" s="87"/>
      <c r="N88" s="79"/>
      <c r="O88" s="79"/>
      <c r="P88" s="79"/>
      <c r="Q88" s="80">
        <f>IF(AND(Индексы!B83,Результаты!B84=" ",Результаты!C84=" ",Результаты!D84=" ",Результаты!E84=" "),1,0)</f>
        <v>0</v>
      </c>
      <c r="R88" s="79"/>
      <c r="S88" s="79"/>
      <c r="T88" s="79"/>
      <c r="U88" s="79"/>
      <c r="V88" s="125"/>
      <c r="W88" s="79"/>
      <c r="X88" s="79"/>
      <c r="Y88" s="81"/>
    </row>
    <row r="89" spans="2:25" ht="12.45" customHeight="1" x14ac:dyDescent="0.25">
      <c r="B89" s="22"/>
      <c r="C89" s="22"/>
      <c r="D89" s="22"/>
      <c r="E89" s="22"/>
      <c r="F89" s="87"/>
      <c r="G89" s="87"/>
      <c r="H89" s="87"/>
      <c r="N89" s="79"/>
      <c r="O89" s="79"/>
      <c r="P89" s="79"/>
      <c r="Q89" s="80">
        <f>IF(AND(Индексы!B84,Результаты!B85=" ",Результаты!C85=" ",Результаты!D85=" ",Результаты!E85=" "),1,0)</f>
        <v>0</v>
      </c>
      <c r="R89" s="79"/>
      <c r="S89" s="79"/>
      <c r="T89" s="79"/>
      <c r="U89" s="79"/>
      <c r="V89" s="125"/>
      <c r="W89" s="79"/>
      <c r="X89" s="79"/>
      <c r="Y89" s="81"/>
    </row>
    <row r="90" spans="2:25" x14ac:dyDescent="0.25">
      <c r="N90" s="79"/>
      <c r="O90" s="79"/>
      <c r="P90" s="79"/>
      <c r="Q90" s="80">
        <f>IF(AND(Индексы!B85,Результаты!B86=" ",Результаты!C86=" ",Результаты!D86=" ",Результаты!E86=" "),1,0)</f>
        <v>0</v>
      </c>
      <c r="R90" s="79"/>
      <c r="S90" s="79"/>
      <c r="T90" s="79"/>
      <c r="U90" s="79"/>
      <c r="V90" s="125"/>
      <c r="W90" s="79"/>
      <c r="X90" s="79"/>
      <c r="Y90" s="81"/>
    </row>
    <row r="91" spans="2:25" ht="12.45" customHeight="1" x14ac:dyDescent="0.25">
      <c r="B91" s="19"/>
      <c r="C91" s="19"/>
      <c r="D91" s="19"/>
      <c r="E91" s="19"/>
      <c r="F91" s="83"/>
      <c r="G91" s="83"/>
      <c r="H91" s="83"/>
      <c r="N91" s="79"/>
      <c r="O91" s="79"/>
      <c r="P91" s="79"/>
      <c r="Q91" s="80">
        <f>IF(AND(Индексы!B86,Результаты!B87=" ",Результаты!C87=" ",Результаты!D87=" ",Результаты!E87=" "),1,0)</f>
        <v>0</v>
      </c>
      <c r="R91" s="79"/>
      <c r="S91" s="79"/>
      <c r="T91" s="79"/>
      <c r="U91" s="79"/>
      <c r="V91" s="125"/>
      <c r="W91" s="79"/>
      <c r="X91" s="79"/>
      <c r="Y91" s="81"/>
    </row>
    <row r="92" spans="2:25" ht="12.45" customHeight="1" x14ac:dyDescent="0.25">
      <c r="B92" s="19"/>
      <c r="C92" s="19"/>
      <c r="D92" s="19"/>
      <c r="E92" s="19"/>
      <c r="F92" s="83"/>
      <c r="G92" s="83"/>
      <c r="H92" s="83"/>
      <c r="N92" s="79"/>
      <c r="O92" s="79"/>
      <c r="P92" s="79"/>
      <c r="Q92" s="80">
        <f>IF(AND(Индексы!B87,Результаты!B88=" ",Результаты!C88=" ",Результаты!D88=" ",Результаты!E88=" "),1,0)</f>
        <v>0</v>
      </c>
      <c r="R92" s="79"/>
      <c r="S92" s="79"/>
      <c r="T92" s="79"/>
      <c r="U92" s="79"/>
      <c r="V92" s="125"/>
      <c r="W92" s="79"/>
      <c r="X92" s="79"/>
      <c r="Y92" s="81"/>
    </row>
    <row r="93" spans="2:25" ht="12.45" customHeight="1" x14ac:dyDescent="0.25">
      <c r="B93" s="19"/>
      <c r="C93" s="19"/>
      <c r="D93" s="19"/>
      <c r="E93" s="19"/>
      <c r="F93" s="83"/>
      <c r="G93" s="83"/>
      <c r="H93" s="83"/>
      <c r="N93" s="79"/>
      <c r="O93" s="79"/>
      <c r="P93" s="79"/>
      <c r="Q93" s="80">
        <f>IF(AND(Индексы!B88,Результаты!B89=" ",Результаты!C89=" ",Результаты!D89=" ",Результаты!E89=" "),1,0)</f>
        <v>0</v>
      </c>
      <c r="R93" s="79"/>
      <c r="S93" s="79"/>
      <c r="T93" s="79"/>
      <c r="U93" s="79"/>
      <c r="V93" s="125"/>
      <c r="W93" s="79"/>
      <c r="X93" s="79"/>
      <c r="Y93" s="81"/>
    </row>
    <row r="94" spans="2:25" ht="12.45" customHeight="1" x14ac:dyDescent="0.25">
      <c r="B94" s="19"/>
      <c r="C94" s="19"/>
      <c r="D94" s="19"/>
      <c r="E94" s="19"/>
      <c r="F94" s="83"/>
      <c r="G94" s="83"/>
      <c r="H94" s="83"/>
      <c r="N94" s="79"/>
      <c r="O94" s="79"/>
      <c r="P94" s="79"/>
      <c r="Q94" s="80">
        <f>IF(AND(Индексы!B89,Результаты!B90=" ",Результаты!C90=" ",Результаты!D90=" ",Результаты!E90=" "),1,0)</f>
        <v>0</v>
      </c>
      <c r="R94" s="79"/>
      <c r="S94" s="79"/>
      <c r="T94" s="79"/>
      <c r="U94" s="79"/>
      <c r="V94" s="125"/>
      <c r="W94" s="79"/>
      <c r="X94" s="79"/>
      <c r="Y94" s="81"/>
    </row>
    <row r="95" spans="2:25" ht="12.45" customHeight="1" x14ac:dyDescent="0.25">
      <c r="B95" s="19"/>
      <c r="C95" s="19"/>
      <c r="D95" s="19"/>
      <c r="E95" s="19"/>
      <c r="F95" s="83"/>
      <c r="G95" s="83"/>
      <c r="H95" s="83"/>
      <c r="N95" s="79"/>
      <c r="O95" s="79"/>
      <c r="P95" s="79"/>
      <c r="Q95" s="80">
        <f>IF(AND(Индексы!B90,Результаты!B91=" ",Результаты!C91=" ",Результаты!D91=" ",Результаты!E91=" "),1,0)</f>
        <v>0</v>
      </c>
      <c r="R95" s="79"/>
      <c r="S95" s="79"/>
      <c r="T95" s="79"/>
      <c r="U95" s="79"/>
      <c r="V95" s="125"/>
      <c r="W95" s="79"/>
      <c r="X95" s="79"/>
      <c r="Y95" s="81"/>
    </row>
    <row r="96" spans="2:25" ht="12.45" customHeight="1" x14ac:dyDescent="0.25">
      <c r="B96" s="19"/>
      <c r="C96" s="19"/>
      <c r="D96" s="19"/>
      <c r="E96" s="19"/>
      <c r="F96" s="83"/>
      <c r="G96" s="83"/>
      <c r="H96" s="83"/>
      <c r="N96" s="79"/>
      <c r="O96" s="79"/>
      <c r="P96" s="79"/>
      <c r="Q96" s="80">
        <f>IF(AND(Индексы!B91,Результаты!B92=" ",Результаты!C92=" ",Результаты!D92=" ",Результаты!E92=" "),1,0)</f>
        <v>0</v>
      </c>
      <c r="R96" s="79"/>
      <c r="S96" s="79"/>
      <c r="T96" s="79"/>
      <c r="U96" s="79"/>
      <c r="V96" s="125"/>
      <c r="W96" s="79"/>
      <c r="X96" s="79"/>
      <c r="Y96" s="81"/>
    </row>
    <row r="97" spans="2:25" ht="12.45" customHeight="1" x14ac:dyDescent="0.25">
      <c r="B97" s="19"/>
      <c r="C97" s="19"/>
      <c r="D97" s="19"/>
      <c r="E97" s="19"/>
      <c r="F97" s="83"/>
      <c r="G97" s="83"/>
      <c r="H97" s="83"/>
      <c r="N97" s="79"/>
      <c r="O97" s="79"/>
      <c r="P97" s="79"/>
      <c r="Q97" s="80">
        <f>IF(AND(Индексы!B92,Результаты!B93=" ",Результаты!C93=" ",Результаты!D93=" ",Результаты!E93=" "),1,0)</f>
        <v>0</v>
      </c>
      <c r="R97" s="79"/>
      <c r="S97" s="79"/>
      <c r="T97" s="79"/>
      <c r="U97" s="79"/>
      <c r="V97" s="125"/>
      <c r="W97" s="79"/>
      <c r="X97" s="79"/>
      <c r="Y97" s="81"/>
    </row>
    <row r="98" spans="2:25" ht="12.45" customHeight="1" x14ac:dyDescent="0.25">
      <c r="B98" s="19"/>
      <c r="C98" s="19"/>
      <c r="D98" s="19"/>
      <c r="E98" s="19"/>
      <c r="F98" s="83"/>
      <c r="G98" s="83"/>
      <c r="H98" s="83"/>
      <c r="N98" s="79"/>
      <c r="O98" s="79"/>
      <c r="P98" s="79"/>
      <c r="Q98" s="80">
        <f>IF(AND(Индексы!B93,Результаты!B94=" ",Результаты!C94=" ",Результаты!D94=" ",Результаты!E94=" "),1,0)</f>
        <v>0</v>
      </c>
      <c r="R98" s="79"/>
      <c r="S98" s="79"/>
      <c r="T98" s="79"/>
      <c r="U98" s="79"/>
      <c r="V98" s="125"/>
      <c r="W98" s="79"/>
      <c r="X98" s="79"/>
      <c r="Y98" s="81"/>
    </row>
    <row r="99" spans="2:25" ht="12.45" customHeight="1" x14ac:dyDescent="0.25">
      <c r="B99" s="19"/>
      <c r="C99" s="19"/>
      <c r="D99" s="19"/>
      <c r="E99" s="19"/>
      <c r="F99" s="83"/>
      <c r="G99" s="83"/>
      <c r="H99" s="83"/>
      <c r="N99" s="79"/>
      <c r="O99" s="79"/>
      <c r="P99" s="79"/>
      <c r="Q99" s="80">
        <f>IF(AND(Индексы!B94,Результаты!B95=" ",Результаты!C95=" ",Результаты!D95=" ",Результаты!E95=" "),1,0)</f>
        <v>0</v>
      </c>
      <c r="R99" s="79"/>
      <c r="S99" s="79"/>
      <c r="T99" s="79"/>
      <c r="U99" s="79"/>
      <c r="V99" s="125"/>
      <c r="W99" s="79"/>
      <c r="X99" s="79"/>
      <c r="Y99" s="81"/>
    </row>
    <row r="100" spans="2:25" ht="12.45" customHeight="1" x14ac:dyDescent="0.25">
      <c r="B100" s="19"/>
      <c r="C100" s="19"/>
      <c r="D100" s="19"/>
      <c r="E100" s="19"/>
      <c r="F100" s="83"/>
      <c r="G100" s="83"/>
      <c r="H100" s="83"/>
      <c r="N100" s="79"/>
      <c r="O100" s="79"/>
      <c r="P100" s="79"/>
      <c r="Q100" s="80">
        <f>IF(AND(Индексы!B95,Результаты!B96=" ",Результаты!C96=" ",Результаты!D96=" ",Результаты!E96=" "),1,0)</f>
        <v>0</v>
      </c>
      <c r="R100" s="79"/>
      <c r="S100" s="79"/>
      <c r="T100" s="79"/>
      <c r="U100" s="79"/>
      <c r="V100" s="125"/>
      <c r="W100" s="79"/>
      <c r="X100" s="79"/>
      <c r="Y100" s="81"/>
    </row>
    <row r="101" spans="2:25" ht="12.45" customHeight="1" x14ac:dyDescent="0.25">
      <c r="B101" s="19"/>
      <c r="C101" s="19"/>
      <c r="D101" s="19"/>
      <c r="E101" s="19"/>
      <c r="F101" s="83"/>
      <c r="G101" s="83"/>
      <c r="H101" s="83"/>
      <c r="N101" s="79"/>
      <c r="O101" s="79"/>
      <c r="P101" s="79"/>
      <c r="Q101" s="80">
        <f>IF(AND(Индексы!B96,Результаты!B97=" ",Результаты!C97=" ",Результаты!D97=" ",Результаты!E97=" "),1,0)</f>
        <v>0</v>
      </c>
      <c r="R101" s="79"/>
      <c r="S101" s="79"/>
      <c r="T101" s="79"/>
      <c r="U101" s="79"/>
      <c r="V101" s="125"/>
      <c r="W101" s="79"/>
      <c r="X101" s="79"/>
      <c r="Y101" s="81"/>
    </row>
    <row r="102" spans="2:25" ht="12.45" customHeight="1" x14ac:dyDescent="0.25">
      <c r="B102" s="19"/>
      <c r="C102" s="19"/>
      <c r="D102" s="19"/>
      <c r="E102" s="19"/>
      <c r="F102" s="83"/>
      <c r="G102" s="83"/>
      <c r="H102" s="83"/>
      <c r="N102" s="79"/>
      <c r="O102" s="79"/>
      <c r="P102" s="79"/>
      <c r="Q102" s="80">
        <f>IF(AND(Индексы!B97,Результаты!B98=" ",Результаты!C98=" ",Результаты!D98=" ",Результаты!E98=" "),1,0)</f>
        <v>0</v>
      </c>
      <c r="R102" s="79"/>
      <c r="S102" s="79"/>
      <c r="T102" s="79"/>
      <c r="U102" s="79"/>
      <c r="V102" s="125"/>
      <c r="W102" s="79"/>
      <c r="X102" s="79"/>
      <c r="Y102" s="81"/>
    </row>
    <row r="103" spans="2:25" ht="12.45" customHeight="1" x14ac:dyDescent="0.25">
      <c r="B103" s="19"/>
      <c r="C103" s="19"/>
      <c r="D103" s="19"/>
      <c r="E103" s="19"/>
      <c r="F103" s="83"/>
      <c r="G103" s="83"/>
      <c r="H103" s="83"/>
      <c r="N103" s="79"/>
      <c r="O103" s="79"/>
      <c r="P103" s="79"/>
      <c r="Q103" s="80">
        <f>IF(AND(Индексы!B98,Результаты!B99=" ",Результаты!C99=" ",Результаты!D99=" ",Результаты!E99=" "),1,0)</f>
        <v>0</v>
      </c>
      <c r="R103" s="79"/>
      <c r="S103" s="79"/>
      <c r="T103" s="79"/>
      <c r="U103" s="79"/>
      <c r="V103" s="125"/>
      <c r="W103" s="79"/>
      <c r="X103" s="79"/>
      <c r="Y103" s="81"/>
    </row>
    <row r="104" spans="2:25" ht="12.45" customHeight="1" x14ac:dyDescent="0.25">
      <c r="B104" s="19"/>
      <c r="C104" s="19"/>
      <c r="D104" s="19"/>
      <c r="E104" s="19"/>
      <c r="F104" s="83"/>
      <c r="G104" s="83"/>
      <c r="H104" s="83"/>
      <c r="N104" s="79"/>
      <c r="O104" s="79"/>
      <c r="P104" s="79"/>
      <c r="Q104" s="80">
        <f>IF(AND(Индексы!B99,Результаты!B100=" ",Результаты!C100=" ",Результаты!D100=" ",Результаты!E100=" "),1,0)</f>
        <v>0</v>
      </c>
      <c r="R104" s="79"/>
      <c r="S104" s="79"/>
      <c r="T104" s="79"/>
      <c r="U104" s="79"/>
      <c r="V104" s="125"/>
      <c r="W104" s="79"/>
      <c r="X104" s="79"/>
      <c r="Y104" s="81"/>
    </row>
    <row r="105" spans="2:25" ht="12.45" customHeight="1" x14ac:dyDescent="0.25">
      <c r="B105" s="19"/>
      <c r="C105" s="19"/>
      <c r="D105" s="19"/>
      <c r="E105" s="19"/>
      <c r="F105" s="83"/>
      <c r="G105" s="83"/>
      <c r="H105" s="83"/>
      <c r="N105" s="79"/>
      <c r="O105" s="79"/>
      <c r="P105" s="79"/>
      <c r="Q105" s="80">
        <f>IF(AND(Индексы!B100,Результаты!B101=" ",Результаты!C101=" ",Результаты!D101=" ",Результаты!E101=" "),1,0)</f>
        <v>0</v>
      </c>
      <c r="R105" s="79"/>
      <c r="S105" s="79"/>
      <c r="T105" s="79"/>
      <c r="U105" s="79"/>
      <c r="V105" s="125"/>
      <c r="W105" s="79"/>
      <c r="X105" s="79"/>
      <c r="Y105" s="81"/>
    </row>
    <row r="106" spans="2:25" ht="12.45" customHeight="1" x14ac:dyDescent="0.25">
      <c r="B106" s="19"/>
      <c r="C106" s="19"/>
      <c r="D106" s="19"/>
      <c r="E106" s="19"/>
      <c r="F106" s="83"/>
      <c r="G106" s="83"/>
      <c r="H106" s="83"/>
      <c r="N106" s="79"/>
      <c r="O106" s="79"/>
      <c r="P106" s="79"/>
      <c r="Q106" s="80">
        <f>IF(AND(Индексы!B101,Результаты!B102=" ",Результаты!C102=" ",Результаты!D102=" ",Результаты!E102=" "),1,0)</f>
        <v>0</v>
      </c>
      <c r="R106" s="79"/>
      <c r="S106" s="79"/>
      <c r="T106" s="79"/>
      <c r="U106" s="79"/>
      <c r="V106" s="125"/>
      <c r="W106" s="79"/>
      <c r="X106" s="79"/>
      <c r="Y106" s="81"/>
    </row>
    <row r="107" spans="2:25" ht="12.45" customHeight="1" x14ac:dyDescent="0.25">
      <c r="B107" s="19"/>
      <c r="C107" s="19"/>
      <c r="D107" s="19"/>
      <c r="E107" s="19"/>
      <c r="F107" s="83"/>
      <c r="G107" s="83"/>
      <c r="H107" s="83"/>
      <c r="N107" s="79"/>
      <c r="O107" s="79"/>
      <c r="P107" s="79"/>
      <c r="Q107" s="80"/>
      <c r="R107" s="79"/>
      <c r="S107" s="79"/>
      <c r="T107" s="79"/>
      <c r="U107" s="79"/>
      <c r="V107" s="125"/>
      <c r="W107" s="79"/>
      <c r="X107" s="79"/>
      <c r="Y107" s="81"/>
    </row>
    <row r="108" spans="2:25" ht="12.45" customHeight="1" x14ac:dyDescent="0.25">
      <c r="B108" s="19"/>
      <c r="C108" s="19"/>
      <c r="D108" s="19"/>
      <c r="E108" s="19"/>
      <c r="F108" s="83"/>
      <c r="G108" s="83"/>
      <c r="H108" s="83"/>
      <c r="N108" s="79"/>
      <c r="O108" s="79"/>
      <c r="P108" s="79"/>
      <c r="Q108" s="80"/>
      <c r="R108" s="79"/>
      <c r="S108" s="79"/>
      <c r="T108" s="79"/>
      <c r="U108" s="79"/>
      <c r="V108" s="125"/>
      <c r="W108" s="79"/>
      <c r="X108" s="79"/>
      <c r="Y108" s="81"/>
    </row>
    <row r="109" spans="2:25" ht="12.45" customHeight="1" x14ac:dyDescent="0.25">
      <c r="B109" s="19"/>
      <c r="C109" s="19"/>
      <c r="D109" s="19"/>
      <c r="E109" s="19"/>
      <c r="F109" s="83"/>
      <c r="G109" s="83"/>
      <c r="H109" s="83"/>
      <c r="N109" s="79"/>
      <c r="O109" s="79"/>
      <c r="P109" s="79"/>
      <c r="Q109" s="80"/>
      <c r="R109" s="79"/>
      <c r="S109" s="79"/>
      <c r="T109" s="79"/>
      <c r="U109" s="79"/>
      <c r="V109" s="125"/>
      <c r="W109" s="79"/>
      <c r="X109" s="79"/>
      <c r="Y109" s="81"/>
    </row>
    <row r="110" spans="2:25" ht="12.45" customHeight="1" x14ac:dyDescent="0.25">
      <c r="B110" s="19"/>
      <c r="C110" s="19"/>
      <c r="D110" s="19"/>
      <c r="E110" s="19"/>
      <c r="F110" s="83"/>
      <c r="G110" s="83"/>
      <c r="H110" s="83"/>
      <c r="N110" s="79"/>
      <c r="O110" s="79"/>
      <c r="P110" s="79"/>
      <c r="Q110" s="80"/>
      <c r="R110" s="79"/>
      <c r="S110" s="79"/>
      <c r="T110" s="79"/>
      <c r="U110" s="79"/>
      <c r="V110" s="125"/>
      <c r="W110" s="79"/>
      <c r="X110" s="79"/>
      <c r="Y110" s="81"/>
    </row>
    <row r="111" spans="2:25" ht="12.45" customHeight="1" x14ac:dyDescent="0.25">
      <c r="B111" s="19"/>
      <c r="C111" s="19"/>
      <c r="D111" s="19"/>
      <c r="E111" s="19"/>
      <c r="F111" s="83"/>
      <c r="G111" s="83"/>
      <c r="H111" s="83"/>
      <c r="N111" s="79"/>
      <c r="O111" s="79"/>
      <c r="P111" s="79"/>
      <c r="Q111" s="80"/>
      <c r="R111" s="79"/>
      <c r="S111" s="79"/>
      <c r="T111" s="79"/>
      <c r="U111" s="79"/>
      <c r="V111" s="125"/>
      <c r="W111" s="79"/>
      <c r="X111" s="79"/>
      <c r="Y111" s="81"/>
    </row>
    <row r="112" spans="2:25" ht="12.45" customHeight="1" x14ac:dyDescent="0.25">
      <c r="B112" s="19"/>
      <c r="C112" s="19"/>
      <c r="D112" s="19"/>
      <c r="E112" s="19"/>
      <c r="F112" s="83"/>
      <c r="G112" s="83"/>
      <c r="H112" s="83"/>
      <c r="N112" s="79"/>
      <c r="O112" s="79"/>
      <c r="P112" s="79"/>
      <c r="Q112" s="80"/>
      <c r="R112" s="79"/>
      <c r="S112" s="79"/>
      <c r="T112" s="79"/>
      <c r="U112" s="79"/>
      <c r="V112" s="125"/>
      <c r="W112" s="79"/>
      <c r="X112" s="79"/>
      <c r="Y112" s="81"/>
    </row>
    <row r="113" spans="2:25" ht="12.45" customHeight="1" x14ac:dyDescent="0.25">
      <c r="B113" s="19"/>
      <c r="C113" s="19"/>
      <c r="D113" s="19"/>
      <c r="E113" s="19"/>
      <c r="F113" s="83"/>
      <c r="G113" s="83"/>
      <c r="H113" s="83"/>
      <c r="N113" s="79"/>
      <c r="O113" s="79"/>
      <c r="P113" s="79"/>
      <c r="Q113" s="80"/>
      <c r="R113" s="79"/>
      <c r="S113" s="79"/>
      <c r="T113" s="79"/>
      <c r="U113" s="79"/>
      <c r="V113" s="125"/>
      <c r="W113" s="79"/>
      <c r="X113" s="79"/>
      <c r="Y113" s="81"/>
    </row>
    <row r="114" spans="2:25" ht="12.45" customHeight="1" x14ac:dyDescent="0.25">
      <c r="B114" s="19"/>
      <c r="C114" s="19"/>
      <c r="D114" s="19"/>
      <c r="E114" s="19"/>
      <c r="F114" s="83"/>
      <c r="G114" s="83"/>
      <c r="H114" s="83"/>
      <c r="N114" s="79"/>
      <c r="O114" s="79"/>
      <c r="P114" s="79"/>
      <c r="Q114" s="80"/>
      <c r="R114" s="79"/>
      <c r="S114" s="79"/>
      <c r="T114" s="79"/>
      <c r="U114" s="79"/>
      <c r="V114" s="125"/>
      <c r="W114" s="79"/>
      <c r="X114" s="79"/>
      <c r="Y114" s="81"/>
    </row>
    <row r="115" spans="2:25" ht="12.45" customHeight="1" x14ac:dyDescent="0.25">
      <c r="B115" s="19"/>
      <c r="C115" s="19"/>
      <c r="D115" s="19"/>
      <c r="E115" s="19"/>
      <c r="F115" s="83"/>
      <c r="G115" s="83"/>
      <c r="H115" s="83"/>
      <c r="N115" s="79"/>
      <c r="O115" s="79"/>
      <c r="P115" s="79"/>
      <c r="Q115" s="80"/>
      <c r="R115" s="79"/>
      <c r="S115" s="79"/>
      <c r="T115" s="79"/>
      <c r="U115" s="79"/>
      <c r="V115" s="125"/>
      <c r="W115" s="79"/>
      <c r="X115" s="79"/>
      <c r="Y115" s="81"/>
    </row>
    <row r="116" spans="2:25" ht="12.45" customHeight="1" x14ac:dyDescent="0.25">
      <c r="B116" s="19"/>
      <c r="C116" s="19"/>
      <c r="D116" s="19"/>
      <c r="E116" s="19"/>
      <c r="F116" s="83"/>
      <c r="G116" s="83"/>
      <c r="H116" s="83"/>
      <c r="N116" s="79"/>
      <c r="O116" s="79"/>
      <c r="P116" s="79"/>
      <c r="Q116" s="80"/>
      <c r="R116" s="79"/>
      <c r="S116" s="79"/>
      <c r="T116" s="79"/>
      <c r="U116" s="79"/>
      <c r="V116" s="125"/>
      <c r="W116" s="79"/>
      <c r="X116" s="79"/>
      <c r="Y116" s="81"/>
    </row>
    <row r="117" spans="2:25" ht="12.45" customHeight="1" x14ac:dyDescent="0.25">
      <c r="B117" s="19"/>
      <c r="C117" s="19"/>
      <c r="D117" s="19"/>
      <c r="E117" s="19"/>
      <c r="F117" s="83"/>
      <c r="G117" s="83"/>
      <c r="H117" s="83"/>
      <c r="N117" s="79"/>
      <c r="O117" s="79"/>
      <c r="P117" s="79"/>
      <c r="Q117" s="80"/>
      <c r="R117" s="79"/>
      <c r="S117" s="79"/>
      <c r="T117" s="79"/>
      <c r="U117" s="79"/>
      <c r="V117" s="125"/>
      <c r="W117" s="79"/>
      <c r="X117" s="79"/>
      <c r="Y117" s="81"/>
    </row>
    <row r="118" spans="2:25" ht="12.45" customHeight="1" x14ac:dyDescent="0.25">
      <c r="B118" s="19"/>
      <c r="C118" s="19"/>
      <c r="D118" s="19"/>
      <c r="E118" s="19"/>
      <c r="F118" s="83"/>
      <c r="G118" s="83"/>
      <c r="H118" s="83"/>
      <c r="N118" s="79"/>
      <c r="O118" s="79"/>
      <c r="P118" s="79"/>
      <c r="Q118" s="80"/>
      <c r="R118" s="79"/>
      <c r="S118" s="79"/>
      <c r="T118" s="79"/>
      <c r="U118" s="79"/>
      <c r="V118" s="125"/>
      <c r="W118" s="79"/>
      <c r="X118" s="79"/>
      <c r="Y118" s="81"/>
    </row>
    <row r="119" spans="2:25" ht="12.45" customHeight="1" x14ac:dyDescent="0.25">
      <c r="B119" s="19"/>
      <c r="C119" s="19"/>
      <c r="D119" s="19"/>
      <c r="E119" s="19"/>
      <c r="F119" s="83"/>
      <c r="G119" s="83"/>
      <c r="H119" s="83"/>
      <c r="N119" s="79"/>
      <c r="O119" s="79"/>
      <c r="P119" s="79"/>
      <c r="Q119" s="80"/>
      <c r="R119" s="79"/>
      <c r="S119" s="79"/>
      <c r="T119" s="79"/>
      <c r="U119" s="79"/>
      <c r="V119" s="125"/>
      <c r="W119" s="79"/>
      <c r="X119" s="79"/>
      <c r="Y119" s="81"/>
    </row>
    <row r="120" spans="2:25" x14ac:dyDescent="0.25">
      <c r="N120" s="79"/>
      <c r="O120" s="79"/>
      <c r="P120" s="79"/>
      <c r="Q120" s="80"/>
      <c r="R120" s="79"/>
      <c r="S120" s="79"/>
      <c r="T120" s="79"/>
      <c r="U120" s="79"/>
      <c r="V120" s="125"/>
      <c r="W120" s="79"/>
      <c r="X120" s="79"/>
      <c r="Y120" s="81"/>
    </row>
    <row r="121" spans="2:25" x14ac:dyDescent="0.25">
      <c r="N121" s="79"/>
      <c r="O121" s="79"/>
      <c r="P121" s="79"/>
      <c r="Q121" s="80"/>
      <c r="R121" s="79"/>
      <c r="S121" s="79"/>
      <c r="T121" s="79"/>
      <c r="U121" s="79"/>
      <c r="V121" s="125"/>
      <c r="W121" s="79"/>
      <c r="X121" s="79"/>
      <c r="Y121" s="81"/>
    </row>
    <row r="122" spans="2:25" x14ac:dyDescent="0.25">
      <c r="N122" s="79"/>
      <c r="O122" s="79"/>
      <c r="P122" s="79"/>
      <c r="Q122" s="80"/>
      <c r="R122" s="79"/>
      <c r="S122" s="79"/>
      <c r="T122" s="79"/>
      <c r="U122" s="79"/>
      <c r="V122" s="125"/>
      <c r="W122" s="79"/>
      <c r="X122" s="79"/>
      <c r="Y122" s="81"/>
    </row>
    <row r="123" spans="2:25" x14ac:dyDescent="0.25">
      <c r="N123" s="79"/>
      <c r="O123" s="79"/>
      <c r="P123" s="79"/>
      <c r="Q123" s="80"/>
      <c r="R123" s="79"/>
      <c r="S123" s="79"/>
      <c r="T123" s="79"/>
      <c r="U123" s="79"/>
      <c r="V123" s="125"/>
      <c r="W123" s="79"/>
      <c r="X123" s="79"/>
      <c r="Y123" s="81"/>
    </row>
    <row r="124" spans="2:25" x14ac:dyDescent="0.25">
      <c r="N124" s="79"/>
      <c r="O124" s="79"/>
      <c r="P124" s="79"/>
      <c r="Q124" s="80"/>
      <c r="R124" s="79"/>
      <c r="S124" s="79"/>
      <c r="T124" s="79"/>
      <c r="U124" s="79"/>
      <c r="V124" s="125"/>
      <c r="W124" s="79"/>
      <c r="X124" s="79"/>
      <c r="Y124" s="81"/>
    </row>
    <row r="125" spans="2:25" x14ac:dyDescent="0.25">
      <c r="N125" s="79"/>
      <c r="O125" s="79"/>
      <c r="P125" s="79"/>
      <c r="Q125" s="79"/>
      <c r="R125" s="79"/>
      <c r="S125" s="79"/>
      <c r="T125" s="79"/>
      <c r="U125" s="79"/>
      <c r="V125" s="125"/>
      <c r="W125" s="79"/>
      <c r="X125" s="79"/>
      <c r="Y125" s="81"/>
    </row>
    <row r="126" spans="2:25" x14ac:dyDescent="0.25">
      <c r="N126" s="79"/>
      <c r="O126" s="79"/>
      <c r="P126" s="79"/>
      <c r="Q126" s="79"/>
      <c r="R126" s="79"/>
      <c r="S126" s="79"/>
      <c r="T126" s="79"/>
      <c r="U126" s="79"/>
      <c r="V126" s="125"/>
      <c r="W126" s="79"/>
      <c r="X126" s="79"/>
      <c r="Y126" s="81"/>
    </row>
    <row r="127" spans="2:25" x14ac:dyDescent="0.25">
      <c r="N127" s="79"/>
      <c r="O127" s="79"/>
      <c r="P127" s="79"/>
      <c r="Q127" s="79"/>
      <c r="R127" s="79"/>
      <c r="S127" s="79"/>
      <c r="T127" s="79"/>
      <c r="U127" s="79"/>
      <c r="V127" s="125"/>
      <c r="W127" s="79"/>
      <c r="X127" s="79"/>
      <c r="Y127" s="81"/>
    </row>
    <row r="128" spans="2:25" x14ac:dyDescent="0.25">
      <c r="N128" s="79"/>
      <c r="O128" s="79"/>
      <c r="P128" s="79"/>
      <c r="Q128" s="79"/>
      <c r="R128" s="79"/>
      <c r="S128" s="79"/>
      <c r="T128" s="79"/>
      <c r="U128" s="79"/>
      <c r="V128" s="125"/>
      <c r="W128" s="79"/>
      <c r="X128" s="79"/>
      <c r="Y128" s="81"/>
    </row>
    <row r="129" spans="14:25" x14ac:dyDescent="0.25">
      <c r="N129" s="79"/>
      <c r="O129" s="79"/>
      <c r="P129" s="79"/>
      <c r="Q129" s="79"/>
      <c r="R129" s="79"/>
      <c r="S129" s="79"/>
      <c r="T129" s="79"/>
      <c r="U129" s="79"/>
      <c r="V129" s="125"/>
      <c r="W129" s="79"/>
      <c r="X129" s="79"/>
      <c r="Y129" s="81"/>
    </row>
    <row r="130" spans="14:25" x14ac:dyDescent="0.25">
      <c r="N130" s="81"/>
      <c r="O130" s="81"/>
      <c r="P130" s="81"/>
      <c r="Q130" s="81"/>
      <c r="R130" s="81"/>
      <c r="S130" s="81"/>
      <c r="T130" s="81"/>
      <c r="U130" s="81"/>
      <c r="W130" s="81"/>
      <c r="X130" s="81"/>
      <c r="Y130" s="81"/>
    </row>
  </sheetData>
  <sheetProtection password="C1AF" sheet="1" selectLockedCells="1" selectUnlockedCells="1"/>
  <mergeCells count="13">
    <mergeCell ref="N7:O7"/>
    <mergeCell ref="A1:E1"/>
    <mergeCell ref="A25:A29"/>
    <mergeCell ref="A16:A19"/>
    <mergeCell ref="A9:A13"/>
    <mergeCell ref="A5:A8"/>
    <mergeCell ref="R38:W38"/>
    <mergeCell ref="R50:W50"/>
    <mergeCell ref="A20:A23"/>
    <mergeCell ref="S26:T26"/>
    <mergeCell ref="U26:V26"/>
    <mergeCell ref="A30:E30"/>
    <mergeCell ref="R20:W20"/>
  </mergeCells>
  <phoneticPr fontId="6" type="noConversion"/>
  <printOptions horizontalCentered="1" verticalCentered="1"/>
  <pageMargins left="0.78740157480314965" right="0.78740157480314965" top="0.78740157480314965" bottom="0.51181102362204722" header="0" footer="0"/>
  <pageSetup paperSize="9" scale="79" orientation="landscape" horizontalDpi="200" verticalDpi="200" r:id="rId1"/>
  <headerFooter alignWithMargins="0"/>
  <ignoredErrors>
    <ignoredError sqref="T35:U35"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indexed="9"/>
  </sheetPr>
  <dimension ref="A1:V25"/>
  <sheetViews>
    <sheetView showGridLines="0" showRowColHeaders="0" workbookViewId="0">
      <selection activeCell="A26" sqref="A26"/>
    </sheetView>
  </sheetViews>
  <sheetFormatPr defaultRowHeight="13.2" x14ac:dyDescent="0.25"/>
  <sheetData>
    <row r="1" spans="1:11" ht="15.6" x14ac:dyDescent="0.25">
      <c r="A1" s="256" t="s">
        <v>69</v>
      </c>
      <c r="B1" s="257"/>
      <c r="C1" s="257"/>
      <c r="D1" s="257"/>
      <c r="E1" s="257"/>
      <c r="F1" s="257"/>
      <c r="G1" s="257"/>
      <c r="H1" s="257"/>
      <c r="I1" s="257"/>
      <c r="J1" s="257"/>
      <c r="K1" s="257"/>
    </row>
    <row r="2" spans="1:11" s="89" customFormat="1" x14ac:dyDescent="0.25">
      <c r="A2" s="88" t="s">
        <v>82</v>
      </c>
    </row>
    <row r="3" spans="1:11" x14ac:dyDescent="0.25">
      <c r="A3" s="73" t="s">
        <v>88</v>
      </c>
    </row>
    <row r="4" spans="1:11" s="89" customFormat="1" x14ac:dyDescent="0.25">
      <c r="A4" s="88" t="s">
        <v>70</v>
      </c>
    </row>
    <row r="5" spans="1:11" x14ac:dyDescent="0.25">
      <c r="A5" s="73" t="s">
        <v>89</v>
      </c>
    </row>
    <row r="6" spans="1:11" s="89" customFormat="1" x14ac:dyDescent="0.25">
      <c r="A6" s="88" t="s">
        <v>68</v>
      </c>
    </row>
    <row r="7" spans="1:11" x14ac:dyDescent="0.25">
      <c r="A7" s="73" t="s">
        <v>83</v>
      </c>
    </row>
    <row r="8" spans="1:11" s="89" customFormat="1" x14ac:dyDescent="0.25">
      <c r="A8" s="88" t="s">
        <v>92</v>
      </c>
    </row>
    <row r="9" spans="1:11" x14ac:dyDescent="0.25">
      <c r="A9" s="73" t="s">
        <v>90</v>
      </c>
    </row>
    <row r="10" spans="1:11" s="89" customFormat="1" x14ac:dyDescent="0.25">
      <c r="A10" s="88" t="s">
        <v>91</v>
      </c>
    </row>
    <row r="11" spans="1:11" s="12" customFormat="1" x14ac:dyDescent="0.25">
      <c r="A11" s="105" t="s">
        <v>136</v>
      </c>
    </row>
    <row r="12" spans="1:11" s="12" customFormat="1" x14ac:dyDescent="0.25">
      <c r="A12" s="105" t="s">
        <v>86</v>
      </c>
    </row>
    <row r="13" spans="1:11" s="12" customFormat="1" x14ac:dyDescent="0.25">
      <c r="A13" s="105" t="s">
        <v>87</v>
      </c>
    </row>
    <row r="14" spans="1:11" s="12" customFormat="1" x14ac:dyDescent="0.25">
      <c r="A14" s="105" t="s">
        <v>73</v>
      </c>
    </row>
    <row r="15" spans="1:11" s="12" customFormat="1" x14ac:dyDescent="0.25">
      <c r="A15" s="105" t="s">
        <v>74</v>
      </c>
    </row>
    <row r="16" spans="1:11" s="12" customFormat="1" x14ac:dyDescent="0.25">
      <c r="A16" s="105" t="s">
        <v>93</v>
      </c>
    </row>
    <row r="17" spans="1:22" s="12" customFormat="1" ht="26.4" customHeight="1" x14ac:dyDescent="0.25">
      <c r="A17" s="260" t="s">
        <v>137</v>
      </c>
      <c r="B17" s="261"/>
      <c r="C17" s="261"/>
      <c r="D17" s="261"/>
      <c r="E17" s="261"/>
      <c r="F17" s="261"/>
      <c r="G17" s="261"/>
      <c r="H17" s="261"/>
      <c r="I17" s="261"/>
      <c r="J17" s="261"/>
      <c r="K17" s="261"/>
      <c r="L17" s="261"/>
      <c r="M17" s="261"/>
      <c r="N17" s="261"/>
      <c r="O17" s="261"/>
      <c r="P17" s="261"/>
      <c r="Q17" s="261"/>
      <c r="R17" s="261"/>
      <c r="S17" s="261"/>
      <c r="T17" s="261"/>
      <c r="U17" s="261"/>
      <c r="V17" s="261"/>
    </row>
    <row r="18" spans="1:22" s="89" customFormat="1" x14ac:dyDescent="0.25">
      <c r="A18" s="88" t="s">
        <v>94</v>
      </c>
    </row>
    <row r="19" spans="1:22" x14ac:dyDescent="0.25">
      <c r="A19" s="73" t="s">
        <v>102</v>
      </c>
    </row>
    <row r="20" spans="1:22" s="89" customFormat="1" ht="55.2" customHeight="1" x14ac:dyDescent="0.25">
      <c r="A20" s="258" t="s">
        <v>130</v>
      </c>
      <c r="B20" s="259"/>
      <c r="C20" s="259"/>
      <c r="D20" s="259"/>
      <c r="E20" s="259"/>
      <c r="F20" s="259"/>
      <c r="G20" s="259"/>
      <c r="H20" s="259"/>
      <c r="I20" s="259"/>
      <c r="J20" s="259"/>
      <c r="K20" s="259"/>
      <c r="L20" s="259"/>
      <c r="M20" s="259"/>
      <c r="N20" s="259"/>
      <c r="O20" s="259"/>
      <c r="P20" s="259"/>
      <c r="Q20" s="259"/>
      <c r="R20" s="259"/>
      <c r="S20" s="259"/>
      <c r="T20" s="259"/>
      <c r="U20" s="259"/>
      <c r="V20" s="259"/>
    </row>
    <row r="21" spans="1:22" ht="52.8" customHeight="1" x14ac:dyDescent="0.25">
      <c r="A21" s="262" t="s">
        <v>135</v>
      </c>
      <c r="B21" s="263"/>
      <c r="C21" s="263"/>
      <c r="D21" s="263"/>
      <c r="E21" s="263"/>
      <c r="F21" s="263"/>
      <c r="G21" s="263"/>
      <c r="H21" s="263"/>
      <c r="I21" s="263"/>
      <c r="J21" s="263"/>
      <c r="K21" s="263"/>
      <c r="L21" s="263"/>
      <c r="M21" s="263"/>
      <c r="N21" s="263"/>
      <c r="O21" s="263"/>
      <c r="P21" s="263"/>
      <c r="Q21" s="263"/>
      <c r="R21" s="263"/>
      <c r="S21" s="263"/>
      <c r="T21" s="263"/>
      <c r="U21" s="263"/>
      <c r="V21" s="263"/>
    </row>
    <row r="22" spans="1:22" s="89" customFormat="1" ht="15.6" customHeight="1" x14ac:dyDescent="0.25">
      <c r="A22" s="113" t="s">
        <v>127</v>
      </c>
      <c r="B22" s="112"/>
      <c r="C22" s="112"/>
      <c r="D22" s="112"/>
      <c r="E22" s="112"/>
      <c r="F22" s="112"/>
      <c r="G22" s="112"/>
      <c r="H22" s="112"/>
      <c r="I22" s="112"/>
      <c r="J22" s="112"/>
      <c r="K22" s="112"/>
      <c r="L22" s="112"/>
      <c r="M22" s="112"/>
      <c r="N22" s="112"/>
      <c r="O22" s="112"/>
      <c r="P22" s="112"/>
      <c r="Q22" s="112"/>
      <c r="R22" s="112"/>
      <c r="S22" s="112"/>
      <c r="T22" s="112"/>
      <c r="U22" s="112"/>
      <c r="V22" s="112"/>
    </row>
    <row r="23" spans="1:22" s="114" customFormat="1" x14ac:dyDescent="0.25">
      <c r="A23" s="114" t="s">
        <v>128</v>
      </c>
    </row>
    <row r="24" spans="1:22" s="89" customFormat="1" x14ac:dyDescent="0.25">
      <c r="A24" s="89" t="s">
        <v>134</v>
      </c>
    </row>
    <row r="25" spans="1:22" x14ac:dyDescent="0.25">
      <c r="A25" t="s">
        <v>139</v>
      </c>
    </row>
  </sheetData>
  <sheetProtection password="C1AF" sheet="1" objects="1" scenarios="1" selectLockedCells="1" selectUnlockedCells="1"/>
  <mergeCells count="4">
    <mergeCell ref="A1:K1"/>
    <mergeCell ref="A20:V20"/>
    <mergeCell ref="A17:V17"/>
    <mergeCell ref="A21:V2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5</vt:i4>
      </vt:variant>
    </vt:vector>
  </HeadingPairs>
  <TitlesOfParts>
    <vt:vector size="15" baseType="lpstr">
      <vt:lpstr>ИД и расчеты</vt:lpstr>
      <vt:lpstr>Индексы</vt:lpstr>
      <vt:lpstr>Породы</vt:lpstr>
      <vt:lpstr>Результаты</vt:lpstr>
      <vt:lpstr>Графики</vt:lpstr>
      <vt:lpstr>График CI</vt:lpstr>
      <vt:lpstr>График DsA</vt:lpstr>
      <vt:lpstr>График HI</vt:lpstr>
      <vt:lpstr>Анализ</vt:lpstr>
      <vt:lpstr>Что нового</vt:lpstr>
      <vt:lpstr>Анализ!Область_печати</vt:lpstr>
      <vt:lpstr>'ИД и расчеты'!Область_печати</vt:lpstr>
      <vt:lpstr>Индексы!Область_печати</vt:lpstr>
      <vt:lpstr>Породы!Область_печати</vt:lpstr>
      <vt:lpstr>Результаты!Область_печати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Сергей</cp:lastModifiedBy>
  <cp:lastPrinted>2016-10-29T15:16:34Z</cp:lastPrinted>
  <dcterms:created xsi:type="dcterms:W3CDTF">1996-10-08T23:32:33Z</dcterms:created>
  <dcterms:modified xsi:type="dcterms:W3CDTF">2021-07-16T19:45:42Z</dcterms:modified>
</cp:coreProperties>
</file>