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E:\Крылья\Тараканов\287\"/>
    </mc:Choice>
  </mc:AlternateContent>
  <bookViews>
    <workbookView xWindow="120" yWindow="120" windowWidth="8556" windowHeight="5256" tabRatio="591" firstSheet="1" activeTab="7"/>
  </bookViews>
  <sheets>
    <sheet name="ИД и расчеты" sheetId="6" r:id="rId1"/>
    <sheet name="Индексы" sheetId="8" r:id="rId2"/>
    <sheet name="Породы" sheetId="2" r:id="rId3"/>
    <sheet name="Результаты" sheetId="3" r:id="rId4"/>
    <sheet name="Графики" sheetId="7" r:id="rId5"/>
    <sheet name="График CI" sheetId="14" r:id="rId6"/>
    <sheet name="График DsA" sheetId="12" r:id="rId7"/>
    <sheet name="График HI" sheetId="13" r:id="rId8"/>
    <sheet name="Анализ" sheetId="10" r:id="rId9"/>
    <sheet name="Что нового" sheetId="11" r:id="rId10"/>
  </sheets>
  <definedNames>
    <definedName name="solver_adj" localSheetId="1" hidden="1">Индексы!$E$105</definedName>
    <definedName name="solver_cvg" localSheetId="1" hidden="1">0.00001</definedName>
    <definedName name="solver_drv" localSheetId="1" hidden="1">1</definedName>
    <definedName name="solver_est" localSheetId="1" hidden="1">1</definedName>
    <definedName name="solver_itr" localSheetId="1" hidden="1">10000</definedName>
    <definedName name="solver_lhs1" localSheetId="1" hidden="1">Индексы!$B$108</definedName>
    <definedName name="solver_lhs2" localSheetId="1" hidden="1">Индексы!$B$109</definedName>
    <definedName name="solver_lhs3" localSheetId="1" hidden="1">Индексы!$C$108</definedName>
    <definedName name="solver_lhs4" localSheetId="1" hidden="1">Индексы!$C$109</definedName>
    <definedName name="solver_lhs5" localSheetId="1" hidden="1">Индексы!$D$108</definedName>
    <definedName name="solver_lhs6" localSheetId="1" hidden="1">Индексы!$D$109</definedName>
    <definedName name="solver_lin" localSheetId="1" hidden="1">2</definedName>
    <definedName name="solver_neg" localSheetId="1" hidden="1">2</definedName>
    <definedName name="solver_num" localSheetId="1" hidden="1">6</definedName>
    <definedName name="solver_nwt" localSheetId="1" hidden="1">1</definedName>
    <definedName name="solver_opt" localSheetId="1" hidden="1">Индексы!$G$105</definedName>
    <definedName name="solver_pre" localSheetId="1" hidden="1">0.0001</definedName>
    <definedName name="solver_rel1" localSheetId="1" hidden="1">3</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hs1" localSheetId="1" hidden="1">Индексы!#REF!</definedName>
    <definedName name="solver_rhs2" localSheetId="1" hidden="1">Индексы!#REF!</definedName>
    <definedName name="solver_rhs3" localSheetId="1" hidden="1">Индексы!#REF!</definedName>
    <definedName name="solver_rhs4" localSheetId="1" hidden="1">Индексы!#REF!</definedName>
    <definedName name="solver_rhs5" localSheetId="1" hidden="1">Индексы!#REF!</definedName>
    <definedName name="solver_rhs6" localSheetId="1" hidden="1">Индексы!#REF!</definedName>
    <definedName name="solver_scl" localSheetId="1" hidden="1">1</definedName>
    <definedName name="solver_sho" localSheetId="1" hidden="1">2</definedName>
    <definedName name="solver_tim" localSheetId="1" hidden="1">100</definedName>
    <definedName name="solver_tol" localSheetId="1" hidden="1">0.000005</definedName>
    <definedName name="solver_typ" localSheetId="1" hidden="1">1</definedName>
    <definedName name="solver_val" localSheetId="1" hidden="1">0</definedName>
    <definedName name="_xlnm.Print_Area" localSheetId="8">Анализ!$A$1:$E$30</definedName>
    <definedName name="_xlnm.Print_Area" localSheetId="0">'ИД и расчеты'!$A$1:$P$204</definedName>
    <definedName name="_xlnm.Print_Area" localSheetId="1">Индексы!$A$1:$K$106</definedName>
    <definedName name="_xlnm.Print_Area" localSheetId="2">Породы!$A$2:$M$11</definedName>
    <definedName name="_xlnm.Print_Area" localSheetId="3">Результаты!$A$1:$K$103</definedName>
  </definedNames>
  <calcPr calcId="152511"/>
</workbook>
</file>

<file path=xl/calcChain.xml><?xml version="1.0" encoding="utf-8"?>
<calcChain xmlns="http://schemas.openxmlformats.org/spreadsheetml/2006/main">
  <c r="D110" i="8" l="1"/>
  <c r="C110" i="8"/>
  <c r="B110" i="8"/>
  <c r="D102" i="8"/>
  <c r="C102" i="8"/>
  <c r="B102" i="8"/>
  <c r="G1" i="7" l="1"/>
  <c r="J2" i="7"/>
  <c r="G2" i="7" s="1"/>
  <c r="J3" i="7"/>
  <c r="G3" i="7" s="1"/>
  <c r="C106" i="8"/>
  <c r="D106" i="8"/>
  <c r="B106" i="8"/>
  <c r="C105" i="8"/>
  <c r="D105" i="8"/>
  <c r="B105" i="8"/>
  <c r="S32" i="10"/>
  <c r="U32" i="10"/>
  <c r="W56" i="10"/>
  <c r="U56" i="10"/>
  <c r="S56" i="10"/>
  <c r="R56" i="10"/>
  <c r="W54" i="10"/>
  <c r="U54" i="10"/>
  <c r="S54" i="10"/>
  <c r="R54" i="10"/>
  <c r="E1" i="7" a="1"/>
  <c r="E23" i="7" s="1"/>
  <c r="R32" i="10"/>
  <c r="R30" i="10"/>
  <c r="F4" i="7"/>
  <c r="F5" i="7"/>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I3" i="7"/>
  <c r="I4" i="7"/>
  <c r="I5" i="7" s="1"/>
  <c r="I6" i="7" s="1"/>
  <c r="I7" i="7" s="1"/>
  <c r="I8" i="7" s="1"/>
  <c r="I9" i="7" s="1"/>
  <c r="I10" i="7" s="1"/>
  <c r="I11" i="7" s="1"/>
  <c r="I12" i="7" s="1"/>
  <c r="I13" i="7" s="1"/>
  <c r="I14" i="7" s="1"/>
  <c r="I15" i="7" s="1"/>
  <c r="I16" i="7" s="1"/>
  <c r="I17" i="7" s="1"/>
  <c r="I18" i="7" s="1"/>
  <c r="I19" i="7" s="1"/>
  <c r="I20" i="7" s="1"/>
  <c r="I21" i="7" s="1"/>
  <c r="I22" i="7" s="1"/>
  <c r="I23" i="7" s="1"/>
  <c r="I24" i="7" s="1"/>
  <c r="I25" i="7" s="1"/>
  <c r="I26" i="7" s="1"/>
  <c r="I27" i="7" s="1"/>
  <c r="I28" i="7" s="1"/>
  <c r="I29" i="7" s="1"/>
  <c r="I30" i="7" s="1"/>
  <c r="I31" i="7" s="1"/>
  <c r="B106" i="6"/>
  <c r="D106" i="6"/>
  <c r="B107" i="6"/>
  <c r="D107" i="6"/>
  <c r="B108" i="6"/>
  <c r="D108" i="6"/>
  <c r="B109" i="6"/>
  <c r="D109" i="6"/>
  <c r="B110" i="6"/>
  <c r="D110" i="6"/>
  <c r="B111" i="6"/>
  <c r="D111" i="6"/>
  <c r="B112" i="6"/>
  <c r="D112" i="6"/>
  <c r="B113" i="6"/>
  <c r="D113" i="6"/>
  <c r="B114" i="6"/>
  <c r="D114" i="6"/>
  <c r="B115" i="6"/>
  <c r="D115" i="6"/>
  <c r="B116" i="6"/>
  <c r="D116" i="6"/>
  <c r="B117" i="6"/>
  <c r="D117" i="6"/>
  <c r="B118" i="6"/>
  <c r="D118" i="6"/>
  <c r="B119" i="6"/>
  <c r="D119" i="6"/>
  <c r="B120" i="6"/>
  <c r="D120" i="6"/>
  <c r="B121" i="6"/>
  <c r="D121" i="6"/>
  <c r="B122" i="6"/>
  <c r="D122" i="6"/>
  <c r="B123" i="6"/>
  <c r="D123" i="6"/>
  <c r="B124" i="6"/>
  <c r="D124" i="6"/>
  <c r="B125" i="6"/>
  <c r="D125" i="6"/>
  <c r="B126" i="6"/>
  <c r="D126" i="6"/>
  <c r="B127" i="6"/>
  <c r="D127" i="6"/>
  <c r="B128" i="6"/>
  <c r="D128" i="6"/>
  <c r="B129" i="6"/>
  <c r="D129" i="6"/>
  <c r="B130" i="6"/>
  <c r="D130" i="6"/>
  <c r="B131" i="6"/>
  <c r="D131" i="6"/>
  <c r="B132" i="6"/>
  <c r="D132" i="6"/>
  <c r="B133" i="6"/>
  <c r="D133" i="6"/>
  <c r="B134" i="6"/>
  <c r="D134" i="6"/>
  <c r="B135" i="6"/>
  <c r="D135" i="6"/>
  <c r="B136" i="6"/>
  <c r="D136" i="6"/>
  <c r="B137" i="6"/>
  <c r="D137" i="6"/>
  <c r="B138" i="6"/>
  <c r="D138" i="6"/>
  <c r="B139" i="6"/>
  <c r="D139" i="6"/>
  <c r="B140" i="6"/>
  <c r="D140" i="6"/>
  <c r="B141" i="6"/>
  <c r="D141" i="6"/>
  <c r="B142" i="6"/>
  <c r="D142" i="6"/>
  <c r="B143" i="6"/>
  <c r="D143" i="6"/>
  <c r="B144" i="6"/>
  <c r="C144" i="6"/>
  <c r="D144" i="6"/>
  <c r="B145" i="6"/>
  <c r="C145" i="6"/>
  <c r="D145" i="6"/>
  <c r="B146" i="6"/>
  <c r="C146" i="6"/>
  <c r="D146" i="6"/>
  <c r="B147" i="6"/>
  <c r="C147" i="6"/>
  <c r="D147" i="6"/>
  <c r="B148" i="6"/>
  <c r="C148" i="6"/>
  <c r="D148" i="6"/>
  <c r="B149" i="6"/>
  <c r="C149" i="6"/>
  <c r="D149" i="6"/>
  <c r="B150" i="6"/>
  <c r="C150" i="6"/>
  <c r="D150" i="6"/>
  <c r="B151" i="6"/>
  <c r="C151" i="6"/>
  <c r="D151" i="6"/>
  <c r="B152" i="6"/>
  <c r="C152" i="6"/>
  <c r="D152" i="6"/>
  <c r="B153" i="6"/>
  <c r="C153" i="6"/>
  <c r="D153" i="6"/>
  <c r="B154" i="6"/>
  <c r="C154" i="6"/>
  <c r="D154" i="6"/>
  <c r="B155" i="6"/>
  <c r="C155" i="6"/>
  <c r="D155" i="6"/>
  <c r="B156" i="6"/>
  <c r="C156" i="6"/>
  <c r="D156" i="6"/>
  <c r="B157" i="6"/>
  <c r="C157" i="6"/>
  <c r="D157" i="6"/>
  <c r="B158" i="6"/>
  <c r="C158" i="6"/>
  <c r="D158" i="6"/>
  <c r="B159" i="6"/>
  <c r="C159" i="6"/>
  <c r="D159" i="6"/>
  <c r="B160" i="6"/>
  <c r="C160" i="6"/>
  <c r="D160" i="6"/>
  <c r="B161" i="6"/>
  <c r="C161" i="6"/>
  <c r="D161" i="6"/>
  <c r="B162" i="6"/>
  <c r="C162" i="6"/>
  <c r="D162" i="6"/>
  <c r="B163" i="6"/>
  <c r="C163" i="6"/>
  <c r="D163" i="6"/>
  <c r="B164" i="6"/>
  <c r="C164" i="6"/>
  <c r="D164" i="6"/>
  <c r="B165" i="6"/>
  <c r="C165" i="6"/>
  <c r="D165" i="6"/>
  <c r="B166" i="6"/>
  <c r="C166" i="6"/>
  <c r="D166" i="6"/>
  <c r="B167" i="6"/>
  <c r="C167" i="6"/>
  <c r="D167" i="6"/>
  <c r="B168" i="6"/>
  <c r="C168" i="6"/>
  <c r="D168" i="6"/>
  <c r="B169" i="6"/>
  <c r="C169" i="6"/>
  <c r="D169" i="6"/>
  <c r="B170" i="6"/>
  <c r="C170" i="6"/>
  <c r="D170" i="6"/>
  <c r="B171" i="6"/>
  <c r="C171" i="6"/>
  <c r="D171" i="6"/>
  <c r="B172" i="6"/>
  <c r="C172" i="6"/>
  <c r="D172" i="6"/>
  <c r="B173" i="6"/>
  <c r="C173" i="6"/>
  <c r="D173" i="6"/>
  <c r="B174" i="6"/>
  <c r="C174" i="6"/>
  <c r="D174" i="6"/>
  <c r="B175" i="6"/>
  <c r="C175" i="6"/>
  <c r="D175" i="6"/>
  <c r="B176" i="6"/>
  <c r="C176" i="6"/>
  <c r="D176" i="6"/>
  <c r="B177" i="6"/>
  <c r="C177" i="6"/>
  <c r="D177" i="6"/>
  <c r="B178" i="6"/>
  <c r="C178" i="6"/>
  <c r="D178" i="6"/>
  <c r="B179" i="6"/>
  <c r="C179" i="6"/>
  <c r="D179" i="6"/>
  <c r="B180" i="6"/>
  <c r="C180" i="6"/>
  <c r="D180" i="6"/>
  <c r="B181" i="6"/>
  <c r="C181" i="6"/>
  <c r="D181" i="6"/>
  <c r="B182" i="6"/>
  <c r="C182" i="6"/>
  <c r="D182" i="6"/>
  <c r="B183" i="6"/>
  <c r="C183" i="6"/>
  <c r="D183" i="6"/>
  <c r="B184" i="6"/>
  <c r="C184" i="6"/>
  <c r="D184" i="6"/>
  <c r="B185" i="6"/>
  <c r="C185" i="6"/>
  <c r="D185" i="6"/>
  <c r="B186" i="6"/>
  <c r="C186" i="6"/>
  <c r="D186" i="6"/>
  <c r="B187" i="6"/>
  <c r="C187" i="6"/>
  <c r="D187" i="6"/>
  <c r="B188" i="6"/>
  <c r="C188" i="6"/>
  <c r="D188" i="6"/>
  <c r="B189" i="6"/>
  <c r="C189" i="6"/>
  <c r="D189" i="6"/>
  <c r="B190" i="6"/>
  <c r="C190" i="6"/>
  <c r="D190" i="6"/>
  <c r="B191" i="6"/>
  <c r="C191" i="6"/>
  <c r="D191" i="6"/>
  <c r="B192" i="6"/>
  <c r="C192" i="6"/>
  <c r="D192" i="6"/>
  <c r="B193" i="6"/>
  <c r="C193" i="6"/>
  <c r="D193" i="6"/>
  <c r="B194" i="6"/>
  <c r="C194" i="6"/>
  <c r="D194" i="6"/>
  <c r="B195" i="6"/>
  <c r="C195" i="6"/>
  <c r="D195" i="6"/>
  <c r="B196" i="6"/>
  <c r="C196" i="6"/>
  <c r="D196" i="6"/>
  <c r="B197" i="6"/>
  <c r="C197" i="6"/>
  <c r="D197" i="6"/>
  <c r="B198" i="6"/>
  <c r="C198" i="6"/>
  <c r="D198" i="6"/>
  <c r="B199" i="6"/>
  <c r="C199" i="6"/>
  <c r="D199" i="6"/>
  <c r="B200" i="6"/>
  <c r="C200" i="6"/>
  <c r="D200" i="6"/>
  <c r="B201" i="6"/>
  <c r="C201" i="6"/>
  <c r="D201" i="6"/>
  <c r="B202" i="6"/>
  <c r="C202" i="6"/>
  <c r="D202" i="6"/>
  <c r="B203" i="6"/>
  <c r="C203" i="6"/>
  <c r="D203" i="6"/>
  <c r="B204" i="6"/>
  <c r="C204" i="6"/>
  <c r="D204" i="6"/>
  <c r="D105" i="6"/>
  <c r="B105" i="6"/>
  <c r="W32" i="10"/>
  <c r="W30" i="10"/>
  <c r="U30" i="10"/>
  <c r="S30" i="10"/>
  <c r="R1" i="6"/>
  <c r="B103" i="8"/>
  <c r="C6" i="10" s="1"/>
  <c r="C103" i="8"/>
  <c r="C108" i="8" s="1"/>
  <c r="D103" i="8"/>
  <c r="D108" i="8" s="1"/>
  <c r="C1" i="7" a="1"/>
  <c r="C4" i="7" s="1"/>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3"/>
  <c r="D102" i="3"/>
  <c r="C102" i="3"/>
  <c r="B102" i="3"/>
  <c r="E101" i="3"/>
  <c r="D101" i="3"/>
  <c r="C101" i="3"/>
  <c r="B101" i="3"/>
  <c r="E100" i="3"/>
  <c r="D100" i="3"/>
  <c r="C100" i="3"/>
  <c r="B100" i="3"/>
  <c r="E99" i="3"/>
  <c r="D99" i="3"/>
  <c r="C99" i="3"/>
  <c r="B99" i="3"/>
  <c r="E98" i="3"/>
  <c r="D98" i="3"/>
  <c r="C98" i="3"/>
  <c r="B98" i="3"/>
  <c r="E97" i="3"/>
  <c r="D97" i="3"/>
  <c r="C97" i="3"/>
  <c r="B97" i="3"/>
  <c r="E96" i="3"/>
  <c r="D96" i="3"/>
  <c r="C96" i="3"/>
  <c r="B96" i="3"/>
  <c r="E95" i="3"/>
  <c r="D95" i="3"/>
  <c r="C95" i="3"/>
  <c r="B95" i="3"/>
  <c r="E94" i="3"/>
  <c r="D94" i="3"/>
  <c r="C94" i="3"/>
  <c r="B94" i="3"/>
  <c r="E93" i="3"/>
  <c r="D93" i="3"/>
  <c r="C93" i="3"/>
  <c r="B93" i="3"/>
  <c r="E92" i="3"/>
  <c r="D92" i="3"/>
  <c r="C92" i="3"/>
  <c r="B92" i="3"/>
  <c r="E91" i="3"/>
  <c r="D91" i="3"/>
  <c r="C91" i="3"/>
  <c r="B91" i="3"/>
  <c r="E90" i="3"/>
  <c r="D90" i="3"/>
  <c r="C90" i="3"/>
  <c r="B90" i="3"/>
  <c r="E89" i="3"/>
  <c r="D89" i="3"/>
  <c r="C89" i="3"/>
  <c r="B89" i="3"/>
  <c r="E88" i="3"/>
  <c r="D88" i="3"/>
  <c r="C88" i="3"/>
  <c r="B88" i="3"/>
  <c r="E87" i="3"/>
  <c r="D87" i="3"/>
  <c r="C87" i="3"/>
  <c r="B87" i="3"/>
  <c r="E86" i="3"/>
  <c r="D86" i="3"/>
  <c r="C86" i="3"/>
  <c r="B86" i="3"/>
  <c r="E85" i="3"/>
  <c r="D85" i="3"/>
  <c r="C85" i="3"/>
  <c r="B85" i="3"/>
  <c r="E84" i="3"/>
  <c r="D84" i="3"/>
  <c r="C84" i="3"/>
  <c r="B84" i="3"/>
  <c r="E83" i="3"/>
  <c r="D83" i="3"/>
  <c r="C83" i="3"/>
  <c r="B83" i="3"/>
  <c r="E82" i="3"/>
  <c r="D82" i="3"/>
  <c r="C82" i="3"/>
  <c r="B82" i="3"/>
  <c r="E81" i="3"/>
  <c r="D81" i="3"/>
  <c r="C81" i="3"/>
  <c r="B81" i="3"/>
  <c r="E80" i="3"/>
  <c r="D80" i="3"/>
  <c r="C80" i="3"/>
  <c r="B80" i="3"/>
  <c r="E79" i="3"/>
  <c r="D79" i="3"/>
  <c r="C79" i="3"/>
  <c r="B79" i="3"/>
  <c r="E78" i="3"/>
  <c r="D78" i="3"/>
  <c r="C78" i="3"/>
  <c r="B78" i="3"/>
  <c r="E77" i="3"/>
  <c r="D77" i="3"/>
  <c r="C77" i="3"/>
  <c r="B77" i="3"/>
  <c r="E76" i="3"/>
  <c r="D76" i="3"/>
  <c r="C76" i="3"/>
  <c r="B76" i="3"/>
  <c r="E75" i="3"/>
  <c r="D75" i="3"/>
  <c r="C75" i="3"/>
  <c r="B75" i="3"/>
  <c r="E74" i="3"/>
  <c r="D74" i="3"/>
  <c r="C74" i="3"/>
  <c r="B74" i="3"/>
  <c r="E73" i="3"/>
  <c r="D73" i="3"/>
  <c r="C73" i="3"/>
  <c r="B73" i="3"/>
  <c r="E72" i="3"/>
  <c r="D72" i="3"/>
  <c r="C72" i="3"/>
  <c r="B72" i="3"/>
  <c r="E71" i="3"/>
  <c r="D71" i="3"/>
  <c r="C71" i="3"/>
  <c r="B71" i="3"/>
  <c r="E70" i="3"/>
  <c r="D70" i="3"/>
  <c r="C70" i="3"/>
  <c r="B70" i="3"/>
  <c r="E69" i="3"/>
  <c r="D69" i="3"/>
  <c r="C69" i="3"/>
  <c r="B69" i="3"/>
  <c r="E68" i="3"/>
  <c r="D68" i="3"/>
  <c r="C68" i="3"/>
  <c r="B68" i="3"/>
  <c r="E67" i="3"/>
  <c r="D67" i="3"/>
  <c r="C67" i="3"/>
  <c r="B67" i="3"/>
  <c r="E66" i="3"/>
  <c r="D66" i="3"/>
  <c r="C66" i="3"/>
  <c r="B66" i="3"/>
  <c r="E65" i="3"/>
  <c r="D65" i="3"/>
  <c r="C65" i="3"/>
  <c r="B65" i="3"/>
  <c r="E64" i="3"/>
  <c r="D64" i="3"/>
  <c r="C64" i="3"/>
  <c r="B64" i="3"/>
  <c r="E63" i="3"/>
  <c r="D63" i="3"/>
  <c r="C63" i="3"/>
  <c r="B63" i="3"/>
  <c r="E62" i="3"/>
  <c r="D62" i="3"/>
  <c r="C62" i="3"/>
  <c r="B62" i="3"/>
  <c r="E61" i="3"/>
  <c r="D61" i="3"/>
  <c r="C61" i="3"/>
  <c r="B61" i="3"/>
  <c r="E60" i="3"/>
  <c r="D60" i="3"/>
  <c r="C60" i="3"/>
  <c r="B60" i="3"/>
  <c r="E59" i="3"/>
  <c r="D59" i="3"/>
  <c r="C59" i="3"/>
  <c r="B59" i="3"/>
  <c r="E58" i="3"/>
  <c r="D58" i="3"/>
  <c r="C58" i="3"/>
  <c r="B58" i="3"/>
  <c r="E57" i="3"/>
  <c r="D57" i="3"/>
  <c r="C57" i="3"/>
  <c r="B57" i="3"/>
  <c r="E56" i="3"/>
  <c r="D56" i="3"/>
  <c r="C56" i="3"/>
  <c r="B56" i="3"/>
  <c r="E55" i="3"/>
  <c r="D55" i="3"/>
  <c r="C55" i="3"/>
  <c r="B55" i="3"/>
  <c r="E54" i="3"/>
  <c r="D54" i="3"/>
  <c r="C54" i="3"/>
  <c r="B54" i="3"/>
  <c r="E53" i="3"/>
  <c r="D53" i="3"/>
  <c r="C53" i="3"/>
  <c r="B53" i="3"/>
  <c r="E52" i="3"/>
  <c r="D52" i="3"/>
  <c r="C52" i="3"/>
  <c r="B52" i="3"/>
  <c r="E51" i="3"/>
  <c r="D51" i="3"/>
  <c r="C51" i="3"/>
  <c r="B51" i="3"/>
  <c r="E50" i="3"/>
  <c r="D50" i="3"/>
  <c r="C50" i="3"/>
  <c r="B50" i="3"/>
  <c r="E49" i="3"/>
  <c r="D49" i="3"/>
  <c r="C49" i="3"/>
  <c r="B49" i="3"/>
  <c r="E48" i="3"/>
  <c r="D48" i="3"/>
  <c r="C48" i="3"/>
  <c r="B48" i="3"/>
  <c r="E47" i="3"/>
  <c r="D47" i="3"/>
  <c r="C47" i="3"/>
  <c r="B47" i="3"/>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B8" i="3"/>
  <c r="E7" i="3"/>
  <c r="D7" i="3"/>
  <c r="C7" i="3"/>
  <c r="B7" i="3"/>
  <c r="E6" i="3"/>
  <c r="D6" i="3"/>
  <c r="C6" i="3"/>
  <c r="B6" i="3"/>
  <c r="E5" i="3"/>
  <c r="D5" i="3"/>
  <c r="C5" i="3"/>
  <c r="B5" i="3"/>
  <c r="E4" i="3"/>
  <c r="D4" i="3"/>
  <c r="C4" i="3"/>
  <c r="B4" i="3"/>
  <c r="E3" i="3"/>
  <c r="D3" i="3"/>
  <c r="C3" i="3"/>
  <c r="B3" i="3"/>
  <c r="C3" i="10"/>
  <c r="H23" i="3"/>
  <c r="B10" i="10" s="1"/>
  <c r="B2" i="3"/>
  <c r="C2" i="3"/>
  <c r="E2" i="3"/>
  <c r="D2" i="3"/>
  <c r="H24" i="3"/>
  <c r="B11" i="10"/>
  <c r="H25" i="3"/>
  <c r="B12" i="10"/>
  <c r="H26" i="3"/>
  <c r="B13" i="10"/>
  <c r="A3"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B208" i="6"/>
  <c r="B219" i="6" s="1"/>
  <c r="B229" i="6" s="1"/>
  <c r="C209" i="6"/>
  <c r="E209" i="6" s="1"/>
  <c r="D209" i="6"/>
  <c r="H209" i="6" s="1"/>
  <c r="D210" i="6"/>
  <c r="H210" i="6" s="1"/>
  <c r="E210" i="6"/>
  <c r="G210" i="6" s="1"/>
  <c r="B211" i="6"/>
  <c r="B221" i="6" s="1"/>
  <c r="B231" i="6" s="1"/>
  <c r="C211" i="6"/>
  <c r="E211" i="6" s="1"/>
  <c r="D211" i="6"/>
  <c r="J211" i="6" s="1"/>
  <c r="D212" i="6"/>
  <c r="H212" i="6" s="1"/>
  <c r="E212" i="6"/>
  <c r="G211" i="6" s="1"/>
  <c r="B213" i="6"/>
  <c r="B223" i="6" s="1"/>
  <c r="B233" i="6" s="1"/>
  <c r="C213" i="6"/>
  <c r="C214" i="6" s="1"/>
  <c r="D213" i="6"/>
  <c r="J213" i="6" s="1"/>
  <c r="D214" i="6"/>
  <c r="F214" i="6" s="1"/>
  <c r="E214" i="6"/>
  <c r="G213" i="6" s="1"/>
  <c r="B215" i="6"/>
  <c r="B225" i="6"/>
  <c r="B235" i="6" s="1"/>
  <c r="C215" i="6"/>
  <c r="C216" i="6" s="1"/>
  <c r="D215" i="6"/>
  <c r="H215" i="6" s="1"/>
  <c r="D216" i="6"/>
  <c r="F216" i="6" s="1"/>
  <c r="F215" i="6"/>
  <c r="E216" i="6"/>
  <c r="G216" i="6"/>
  <c r="D219" i="6"/>
  <c r="J219" i="6" s="1"/>
  <c r="D220" i="6"/>
  <c r="H220" i="6" s="1"/>
  <c r="E220" i="6"/>
  <c r="G220" i="6" s="1"/>
  <c r="C221" i="6"/>
  <c r="C222" i="6"/>
  <c r="D221" i="6"/>
  <c r="J222" i="6"/>
  <c r="D222" i="6"/>
  <c r="H222" i="6"/>
  <c r="E222" i="6"/>
  <c r="G222" i="6"/>
  <c r="C223" i="6"/>
  <c r="C224" i="6" s="1"/>
  <c r="D223" i="6"/>
  <c r="J223" i="6" s="1"/>
  <c r="D224" i="6"/>
  <c r="F223" i="6" s="1"/>
  <c r="E224" i="6"/>
  <c r="G223" i="6" s="1"/>
  <c r="C225" i="6"/>
  <c r="I225" i="6"/>
  <c r="D225" i="6"/>
  <c r="H225" i="6"/>
  <c r="D226" i="6"/>
  <c r="F226" i="6"/>
  <c r="E226" i="6"/>
  <c r="I226" i="6"/>
  <c r="J225" i="6"/>
  <c r="J226" i="6"/>
  <c r="B227" i="6"/>
  <c r="B237" i="6"/>
  <c r="C229" i="6"/>
  <c r="I229" i="6" s="1"/>
  <c r="D229" i="6"/>
  <c r="J229" i="6" s="1"/>
  <c r="D230" i="6"/>
  <c r="F229" i="6" s="1"/>
  <c r="E230" i="6"/>
  <c r="G229" i="6" s="1"/>
  <c r="C230" i="6"/>
  <c r="C231" i="6"/>
  <c r="I231" i="6" s="1"/>
  <c r="D231" i="6"/>
  <c r="J232" i="6" s="1"/>
  <c r="D232" i="6"/>
  <c r="F231" i="6" s="1"/>
  <c r="E232" i="6"/>
  <c r="I232" i="6" s="1"/>
  <c r="C233" i="6"/>
  <c r="E233" i="6" s="1"/>
  <c r="D233" i="6"/>
  <c r="J233" i="6" s="1"/>
  <c r="D234" i="6"/>
  <c r="H234" i="6" s="1"/>
  <c r="E234" i="6"/>
  <c r="I234" i="6" s="1"/>
  <c r="C235" i="6"/>
  <c r="E235" i="6" s="1"/>
  <c r="D235" i="6"/>
  <c r="H235" i="6" s="1"/>
  <c r="D236" i="6"/>
  <c r="F235" i="6" s="1"/>
  <c r="E236" i="6"/>
  <c r="G236" i="6" s="1"/>
  <c r="G106" i="6"/>
  <c r="F106" i="6"/>
  <c r="G107" i="6"/>
  <c r="F107" i="6"/>
  <c r="G108" i="6"/>
  <c r="F108" i="6"/>
  <c r="G109" i="6"/>
  <c r="F109" i="6"/>
  <c r="G110" i="6"/>
  <c r="F110" i="6"/>
  <c r="G111" i="6"/>
  <c r="F111" i="6"/>
  <c r="G112" i="6"/>
  <c r="F112" i="6"/>
  <c r="G113" i="6"/>
  <c r="F113" i="6"/>
  <c r="G114" i="6"/>
  <c r="F114" i="6"/>
  <c r="H114" i="6" s="1"/>
  <c r="G115" i="6"/>
  <c r="F115" i="6"/>
  <c r="H115" i="6" s="1"/>
  <c r="G116" i="6"/>
  <c r="F116" i="6"/>
  <c r="G117" i="6"/>
  <c r="F117" i="6"/>
  <c r="G118" i="6"/>
  <c r="F118" i="6"/>
  <c r="I118" i="6" s="1"/>
  <c r="G119" i="6"/>
  <c r="F119" i="6"/>
  <c r="G120" i="6"/>
  <c r="F120" i="6"/>
  <c r="G121" i="6"/>
  <c r="F121" i="6"/>
  <c r="G122" i="6"/>
  <c r="F122" i="6"/>
  <c r="G123" i="6"/>
  <c r="F123" i="6"/>
  <c r="I123" i="6" s="1"/>
  <c r="G124" i="6"/>
  <c r="F124" i="6"/>
  <c r="G125" i="6"/>
  <c r="F125" i="6"/>
  <c r="G126" i="6"/>
  <c r="F126" i="6"/>
  <c r="H126" i="6" s="1"/>
  <c r="G127" i="6"/>
  <c r="F127" i="6"/>
  <c r="I127" i="6" s="1"/>
  <c r="G128" i="6"/>
  <c r="F128" i="6"/>
  <c r="G129" i="6"/>
  <c r="F129" i="6"/>
  <c r="G130" i="6"/>
  <c r="F130" i="6"/>
  <c r="G131" i="6"/>
  <c r="F131" i="6"/>
  <c r="I131" i="6" s="1"/>
  <c r="G132" i="6"/>
  <c r="F132" i="6"/>
  <c r="G133" i="6"/>
  <c r="F133" i="6"/>
  <c r="H133" i="6" s="1"/>
  <c r="G134" i="6"/>
  <c r="F134" i="6"/>
  <c r="G135" i="6"/>
  <c r="F135" i="6"/>
  <c r="G136" i="6"/>
  <c r="F136" i="6"/>
  <c r="G137" i="6"/>
  <c r="F137" i="6"/>
  <c r="G138" i="6"/>
  <c r="F138" i="6"/>
  <c r="G139" i="6"/>
  <c r="F139" i="6"/>
  <c r="G140" i="6"/>
  <c r="F140" i="6"/>
  <c r="G141" i="6"/>
  <c r="F141" i="6"/>
  <c r="I141" i="6" s="1"/>
  <c r="G142" i="6"/>
  <c r="F142" i="6"/>
  <c r="H142" i="6" s="1"/>
  <c r="G143" i="6"/>
  <c r="F143" i="6"/>
  <c r="G144" i="6"/>
  <c r="F144" i="6"/>
  <c r="I144" i="6" s="1"/>
  <c r="G145" i="6"/>
  <c r="F145" i="6"/>
  <c r="H145" i="6" s="1"/>
  <c r="G146" i="6"/>
  <c r="F146" i="6"/>
  <c r="G147" i="6"/>
  <c r="F147" i="6"/>
  <c r="G148" i="6"/>
  <c r="F148" i="6"/>
  <c r="G149" i="6"/>
  <c r="F149" i="6"/>
  <c r="G150" i="6"/>
  <c r="F150" i="6"/>
  <c r="G151" i="6"/>
  <c r="F151" i="6"/>
  <c r="G152" i="6"/>
  <c r="F152" i="6"/>
  <c r="G153" i="6"/>
  <c r="F153" i="6"/>
  <c r="G154" i="6"/>
  <c r="F154" i="6"/>
  <c r="G105" i="6"/>
  <c r="F105" i="6"/>
  <c r="T1" i="6"/>
  <c r="S1" i="6"/>
  <c r="F155" i="6"/>
  <c r="G155" i="6"/>
  <c r="F156" i="6"/>
  <c r="G156" i="6"/>
  <c r="F157" i="6"/>
  <c r="G157" i="6"/>
  <c r="F158" i="6"/>
  <c r="G158" i="6"/>
  <c r="F159" i="6"/>
  <c r="G159" i="6"/>
  <c r="F160" i="6"/>
  <c r="G160" i="6"/>
  <c r="F161" i="6"/>
  <c r="G161" i="6"/>
  <c r="F162" i="6"/>
  <c r="G162" i="6"/>
  <c r="F163" i="6"/>
  <c r="G163" i="6"/>
  <c r="F164" i="6"/>
  <c r="G164" i="6"/>
  <c r="F165" i="6"/>
  <c r="G165" i="6"/>
  <c r="F166" i="6"/>
  <c r="G166" i="6"/>
  <c r="F167" i="6"/>
  <c r="G167" i="6"/>
  <c r="F168" i="6"/>
  <c r="G168" i="6"/>
  <c r="F169" i="6"/>
  <c r="G169" i="6"/>
  <c r="F170" i="6"/>
  <c r="G170" i="6"/>
  <c r="F171" i="6"/>
  <c r="G171" i="6"/>
  <c r="F172" i="6"/>
  <c r="G172" i="6"/>
  <c r="F173" i="6"/>
  <c r="G173" i="6"/>
  <c r="F174" i="6"/>
  <c r="G174" i="6"/>
  <c r="F175" i="6"/>
  <c r="G175" i="6"/>
  <c r="F176" i="6"/>
  <c r="G176" i="6"/>
  <c r="F177" i="6"/>
  <c r="G177" i="6"/>
  <c r="F178" i="6"/>
  <c r="G178" i="6"/>
  <c r="F179" i="6"/>
  <c r="G179" i="6"/>
  <c r="F180" i="6"/>
  <c r="G180" i="6"/>
  <c r="F181" i="6"/>
  <c r="G181" i="6"/>
  <c r="F182" i="6"/>
  <c r="G182" i="6"/>
  <c r="F183" i="6"/>
  <c r="G183" i="6"/>
  <c r="F184" i="6"/>
  <c r="G184" i="6"/>
  <c r="F185" i="6"/>
  <c r="G185" i="6"/>
  <c r="F186" i="6"/>
  <c r="G186" i="6"/>
  <c r="F187" i="6"/>
  <c r="G187" i="6"/>
  <c r="F188" i="6"/>
  <c r="G188" i="6"/>
  <c r="F189" i="6"/>
  <c r="G189" i="6"/>
  <c r="F190" i="6"/>
  <c r="G190" i="6"/>
  <c r="F191" i="6"/>
  <c r="G191" i="6"/>
  <c r="F192" i="6"/>
  <c r="G192" i="6"/>
  <c r="F193" i="6"/>
  <c r="G193" i="6"/>
  <c r="F194" i="6"/>
  <c r="G194" i="6"/>
  <c r="F195" i="6"/>
  <c r="G195" i="6"/>
  <c r="F196" i="6"/>
  <c r="G196" i="6"/>
  <c r="F197" i="6"/>
  <c r="G197" i="6"/>
  <c r="F198" i="6"/>
  <c r="G198" i="6"/>
  <c r="F199" i="6"/>
  <c r="G199" i="6"/>
  <c r="F200" i="6"/>
  <c r="G200" i="6"/>
  <c r="F201" i="6"/>
  <c r="G201" i="6"/>
  <c r="F202" i="6"/>
  <c r="G202" i="6"/>
  <c r="F203" i="6"/>
  <c r="G203" i="6"/>
  <c r="F204" i="6"/>
  <c r="G204" i="6"/>
  <c r="A12" i="3"/>
  <c r="F12" i="3" s="1"/>
  <c r="A13" i="3"/>
  <c r="F13" i="3" s="1"/>
  <c r="A14" i="3"/>
  <c r="F14" i="3" s="1"/>
  <c r="A15" i="3"/>
  <c r="F15" i="3" s="1"/>
  <c r="A16" i="3"/>
  <c r="F16" i="3" s="1"/>
  <c r="A17" i="3"/>
  <c r="F17" i="3" s="1"/>
  <c r="A18" i="3"/>
  <c r="F18" i="3" s="1"/>
  <c r="A19" i="3"/>
  <c r="F19" i="3" s="1"/>
  <c r="A20" i="3"/>
  <c r="F20" i="3" s="1"/>
  <c r="A21" i="3"/>
  <c r="F21" i="3" s="1"/>
  <c r="A22" i="3"/>
  <c r="F22" i="3" s="1"/>
  <c r="A23" i="3"/>
  <c r="F23" i="3" s="1"/>
  <c r="A24" i="3"/>
  <c r="F24" i="3" s="1"/>
  <c r="A25" i="3"/>
  <c r="F25" i="3" s="1"/>
  <c r="A26" i="3"/>
  <c r="F26" i="3" s="1"/>
  <c r="A27" i="3"/>
  <c r="F27" i="3" s="1"/>
  <c r="A28" i="3"/>
  <c r="F28" i="3" s="1"/>
  <c r="A29" i="3"/>
  <c r="F29" i="3" s="1"/>
  <c r="A30" i="3"/>
  <c r="F30" i="3" s="1"/>
  <c r="A31" i="3"/>
  <c r="F31" i="3" s="1"/>
  <c r="A32" i="3"/>
  <c r="F32" i="3" s="1"/>
  <c r="A33" i="3"/>
  <c r="F33" i="3" s="1"/>
  <c r="A34" i="3"/>
  <c r="F34" i="3" s="1"/>
  <c r="A35" i="3"/>
  <c r="F35" i="3" s="1"/>
  <c r="A36" i="3"/>
  <c r="F36" i="3" s="1"/>
  <c r="A37" i="3"/>
  <c r="F37" i="3" s="1"/>
  <c r="A38" i="3"/>
  <c r="F38" i="3" s="1"/>
  <c r="A39" i="3"/>
  <c r="F39" i="3" s="1"/>
  <c r="A40" i="3"/>
  <c r="F40" i="3" s="1"/>
  <c r="A41" i="3"/>
  <c r="F41" i="3" s="1"/>
  <c r="A42" i="3"/>
  <c r="F42" i="3" s="1"/>
  <c r="A43" i="3"/>
  <c r="F43" i="3" s="1"/>
  <c r="A44" i="3"/>
  <c r="F44" i="3" s="1"/>
  <c r="A45" i="3"/>
  <c r="F45" i="3" s="1"/>
  <c r="A46" i="3"/>
  <c r="F46" i="3" s="1"/>
  <c r="A47" i="3"/>
  <c r="F47" i="3" s="1"/>
  <c r="A48" i="3"/>
  <c r="F48" i="3" s="1"/>
  <c r="A49" i="3"/>
  <c r="F49" i="3" s="1"/>
  <c r="A50" i="3"/>
  <c r="F50" i="3" s="1"/>
  <c r="A51" i="3"/>
  <c r="F51" i="3" s="1"/>
  <c r="A52" i="3"/>
  <c r="F52" i="3" s="1"/>
  <c r="A53" i="3"/>
  <c r="F53" i="3" s="1"/>
  <c r="A54" i="3"/>
  <c r="F54" i="3" s="1"/>
  <c r="A55" i="3"/>
  <c r="F55" i="3" s="1"/>
  <c r="A56" i="3"/>
  <c r="F56" i="3" s="1"/>
  <c r="A57" i="3"/>
  <c r="F57" i="3" s="1"/>
  <c r="A58" i="3"/>
  <c r="F58" i="3" s="1"/>
  <c r="A59" i="3"/>
  <c r="F59" i="3" s="1"/>
  <c r="A60" i="3"/>
  <c r="F60" i="3" s="1"/>
  <c r="A61" i="3"/>
  <c r="F61" i="3" s="1"/>
  <c r="A62" i="3"/>
  <c r="F62" i="3" s="1"/>
  <c r="A63" i="3"/>
  <c r="F63" i="3" s="1"/>
  <c r="A64" i="3"/>
  <c r="F64" i="3" s="1"/>
  <c r="A65" i="3"/>
  <c r="F65" i="3" s="1"/>
  <c r="A66" i="3"/>
  <c r="F66" i="3" s="1"/>
  <c r="A67" i="3"/>
  <c r="F67" i="3" s="1"/>
  <c r="A68" i="3"/>
  <c r="F68" i="3" s="1"/>
  <c r="A69" i="3"/>
  <c r="F69" i="3" s="1"/>
  <c r="A70" i="3"/>
  <c r="F70" i="3" s="1"/>
  <c r="A71" i="3"/>
  <c r="F71" i="3" s="1"/>
  <c r="A72" i="3"/>
  <c r="F72" i="3" s="1"/>
  <c r="A73" i="3"/>
  <c r="F73" i="3" s="1"/>
  <c r="A74" i="3"/>
  <c r="F74" i="3" s="1"/>
  <c r="A75" i="3"/>
  <c r="F75" i="3" s="1"/>
  <c r="A76" i="3"/>
  <c r="F76" i="3" s="1"/>
  <c r="A77" i="3"/>
  <c r="F77" i="3" s="1"/>
  <c r="A78" i="3"/>
  <c r="F78" i="3" s="1"/>
  <c r="A79" i="3"/>
  <c r="F79" i="3" s="1"/>
  <c r="A80" i="3"/>
  <c r="F80" i="3" s="1"/>
  <c r="A81" i="3"/>
  <c r="F81" i="3" s="1"/>
  <c r="A82" i="3"/>
  <c r="F82" i="3" s="1"/>
  <c r="A83" i="3"/>
  <c r="F83" i="3" s="1"/>
  <c r="A84" i="3"/>
  <c r="F84" i="3" s="1"/>
  <c r="A85" i="3"/>
  <c r="F85" i="3" s="1"/>
  <c r="A86" i="3"/>
  <c r="F86" i="3" s="1"/>
  <c r="A87" i="3"/>
  <c r="F87" i="3" s="1"/>
  <c r="A88" i="3"/>
  <c r="F88" i="3" s="1"/>
  <c r="A89" i="3"/>
  <c r="F89" i="3" s="1"/>
  <c r="A90" i="3"/>
  <c r="F90" i="3" s="1"/>
  <c r="A91" i="3"/>
  <c r="F91" i="3" s="1"/>
  <c r="A92" i="3"/>
  <c r="F92" i="3" s="1"/>
  <c r="A93" i="3"/>
  <c r="F93" i="3" s="1"/>
  <c r="A94" i="3"/>
  <c r="F94" i="3" s="1"/>
  <c r="A95" i="3"/>
  <c r="F95" i="3" s="1"/>
  <c r="A96" i="3"/>
  <c r="F96" i="3" s="1"/>
  <c r="A97" i="3"/>
  <c r="F97" i="3" s="1"/>
  <c r="A98" i="3"/>
  <c r="F98" i="3" s="1"/>
  <c r="A99" i="3"/>
  <c r="F99" i="3" s="1"/>
  <c r="A100" i="3"/>
  <c r="F100" i="3" s="1"/>
  <c r="A101" i="3"/>
  <c r="F101" i="3" s="1"/>
  <c r="A102" i="3"/>
  <c r="F102" i="3" s="1"/>
  <c r="A4" i="3"/>
  <c r="F4" i="3" s="1"/>
  <c r="A5" i="3"/>
  <c r="F5" i="3" s="1"/>
  <c r="A6" i="3"/>
  <c r="F6" i="3" s="1"/>
  <c r="A7" i="3"/>
  <c r="F7" i="3" s="1"/>
  <c r="A8" i="3"/>
  <c r="F8" i="3" s="1"/>
  <c r="A9" i="3"/>
  <c r="F9" i="3" s="1"/>
  <c r="A10" i="3"/>
  <c r="F10" i="3" s="1"/>
  <c r="A11" i="3"/>
  <c r="F11" i="3" s="1"/>
  <c r="A3" i="3"/>
  <c r="F3" i="3" s="1"/>
  <c r="A105" i="6"/>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H221" i="6"/>
  <c r="G225" i="6"/>
  <c r="G226" i="6"/>
  <c r="C140" i="6"/>
  <c r="G232" i="6"/>
  <c r="C137" i="6"/>
  <c r="J216" i="6"/>
  <c r="G209" i="6"/>
  <c r="E221" i="6"/>
  <c r="I221" i="6"/>
  <c r="G221" i="6"/>
  <c r="I222" i="6"/>
  <c r="C138" i="6"/>
  <c r="C141" i="6"/>
  <c r="I216" i="6"/>
  <c r="G215" i="6"/>
  <c r="C142" i="6"/>
  <c r="C212" i="6"/>
  <c r="C143" i="6"/>
  <c r="C139" i="6"/>
  <c r="C135" i="6"/>
  <c r="C136" i="6"/>
  <c r="C234" i="6"/>
  <c r="E225" i="6"/>
  <c r="J221" i="6"/>
  <c r="G233" i="6"/>
  <c r="H226" i="6"/>
  <c r="I236" i="6"/>
  <c r="G235" i="6"/>
  <c r="F225" i="6"/>
  <c r="F232" i="6"/>
  <c r="H236" i="6"/>
  <c r="F236" i="6"/>
  <c r="H230" i="6"/>
  <c r="J231" i="6"/>
  <c r="E231" i="6"/>
  <c r="H224" i="6"/>
  <c r="J235" i="6"/>
  <c r="F224" i="6"/>
  <c r="J236" i="6"/>
  <c r="F213" i="6"/>
  <c r="H231" i="6"/>
  <c r="G231" i="6"/>
  <c r="F221" i="6"/>
  <c r="F222" i="6"/>
  <c r="I235" i="6"/>
  <c r="C236" i="6"/>
  <c r="C226" i="6"/>
  <c r="E215" i="6"/>
  <c r="F103" i="3"/>
  <c r="H189" i="6"/>
  <c r="C109" i="8"/>
  <c r="D238" i="6" s="1"/>
  <c r="B108" i="8"/>
  <c r="C227" i="6" s="1"/>
  <c r="J210" i="6"/>
  <c r="J4" i="7"/>
  <c r="G4" i="7" s="1"/>
  <c r="J5" i="7"/>
  <c r="F211" i="6"/>
  <c r="F212" i="6"/>
  <c r="H211" i="6"/>
  <c r="D103" i="3"/>
  <c r="I173" i="6"/>
  <c r="I165" i="6"/>
  <c r="C103" i="3"/>
  <c r="E103" i="3"/>
  <c r="D109" i="8"/>
  <c r="E238" i="6" s="1"/>
  <c r="B103" i="3"/>
  <c r="H178" i="6"/>
  <c r="I152" i="6"/>
  <c r="H119" i="6"/>
  <c r="C15" i="7"/>
  <c r="E8" i="7"/>
  <c r="C10" i="7"/>
  <c r="C1" i="7"/>
  <c r="E22" i="7"/>
  <c r="C24" i="7"/>
  <c r="E33" i="7"/>
  <c r="C23" i="7"/>
  <c r="I175" i="6"/>
  <c r="I160" i="6"/>
  <c r="I186" i="6"/>
  <c r="H121" i="6"/>
  <c r="I151" i="6"/>
  <c r="C217" i="6"/>
  <c r="C218" i="6" s="1"/>
  <c r="H143" i="6"/>
  <c r="I192" i="6"/>
  <c r="H190" i="6"/>
  <c r="H148" i="6"/>
  <c r="I183" i="6"/>
  <c r="I202" i="6"/>
  <c r="I190" i="6"/>
  <c r="I121" i="6"/>
  <c r="H194" i="6"/>
  <c r="H128" i="6"/>
  <c r="E13" i="7" l="1"/>
  <c r="C12" i="7"/>
  <c r="E14" i="7"/>
  <c r="C5" i="7"/>
  <c r="E4" i="7"/>
  <c r="E18" i="7"/>
  <c r="R59" i="10" s="1"/>
  <c r="R52" i="10" s="1"/>
  <c r="E11" i="7"/>
  <c r="C17" i="7"/>
  <c r="I196" i="6"/>
  <c r="I195" i="6"/>
  <c r="H193" i="6"/>
  <c r="I189" i="6"/>
  <c r="I176" i="6"/>
  <c r="H171" i="6"/>
  <c r="I163" i="6"/>
  <c r="I159" i="6"/>
  <c r="I158" i="6"/>
  <c r="E102" i="8"/>
  <c r="C8" i="10"/>
  <c r="I108" i="6"/>
  <c r="H108" i="6"/>
  <c r="I114" i="6"/>
  <c r="I162" i="6"/>
  <c r="H162" i="6"/>
  <c r="H204" i="6"/>
  <c r="H203" i="6"/>
  <c r="H202" i="6"/>
  <c r="I201" i="6"/>
  <c r="I200" i="6"/>
  <c r="I199" i="6"/>
  <c r="H198" i="6"/>
  <c r="H195" i="6"/>
  <c r="I194" i="6"/>
  <c r="I193" i="6"/>
  <c r="I187" i="6"/>
  <c r="H186" i="6"/>
  <c r="H185" i="6"/>
  <c r="I184" i="6"/>
  <c r="H183" i="6"/>
  <c r="I182" i="6"/>
  <c r="H181" i="6"/>
  <c r="H180" i="6"/>
  <c r="I179" i="6"/>
  <c r="I178" i="6"/>
  <c r="H177" i="6"/>
  <c r="H176" i="6"/>
  <c r="H175" i="6"/>
  <c r="H173" i="6"/>
  <c r="I171" i="6"/>
  <c r="I170" i="6"/>
  <c r="I168" i="6"/>
  <c r="H167" i="6"/>
  <c r="H165" i="6"/>
  <c r="H163" i="6"/>
  <c r="H160" i="6"/>
  <c r="H158" i="6"/>
  <c r="I157" i="6"/>
  <c r="I156" i="6"/>
  <c r="I155" i="6"/>
  <c r="H154" i="6"/>
  <c r="I153" i="6"/>
  <c r="H152" i="6"/>
  <c r="H151" i="6"/>
  <c r="I150" i="6"/>
  <c r="I149" i="6"/>
  <c r="I146" i="6"/>
  <c r="I145" i="6"/>
  <c r="H144" i="6"/>
  <c r="I143" i="6"/>
  <c r="I142" i="6"/>
  <c r="H140" i="6"/>
  <c r="I139" i="6"/>
  <c r="I138" i="6"/>
  <c r="H137" i="6"/>
  <c r="I135" i="6"/>
  <c r="I134" i="6"/>
  <c r="I133" i="6"/>
  <c r="C133" i="6" s="1"/>
  <c r="H129" i="6"/>
  <c r="I128" i="6"/>
  <c r="H127" i="6"/>
  <c r="C127" i="6" s="1"/>
  <c r="I126" i="6"/>
  <c r="C126" i="6" s="1"/>
  <c r="H124" i="6"/>
  <c r="H123" i="6"/>
  <c r="C123" i="6" s="1"/>
  <c r="H120" i="6"/>
  <c r="I119" i="6"/>
  <c r="C119" i="6" s="1"/>
  <c r="H118" i="6"/>
  <c r="C118" i="6" s="1"/>
  <c r="H116" i="6"/>
  <c r="C237" i="6"/>
  <c r="E237" i="6" s="1"/>
  <c r="D227" i="6"/>
  <c r="H227" i="6" s="1"/>
  <c r="B109" i="8"/>
  <c r="E218" i="6" s="1"/>
  <c r="G217" i="6" s="1"/>
  <c r="Q27" i="10"/>
  <c r="Q32" i="10"/>
  <c r="Q33" i="10"/>
  <c r="Q68" i="10"/>
  <c r="Q71" i="10"/>
  <c r="Q72" i="10"/>
  <c r="Q74" i="10"/>
  <c r="Q75" i="10"/>
  <c r="Q76" i="10"/>
  <c r="Q77" i="10"/>
  <c r="Q79" i="10"/>
  <c r="Q80" i="10"/>
  <c r="H201" i="6"/>
  <c r="E103" i="8"/>
  <c r="E104" i="8" s="1"/>
  <c r="E217" i="6"/>
  <c r="I115" i="6"/>
  <c r="I113" i="6"/>
  <c r="I112" i="6"/>
  <c r="I110" i="6"/>
  <c r="I107" i="6"/>
  <c r="G214" i="6"/>
  <c r="H233" i="6"/>
  <c r="J234" i="6"/>
  <c r="H213" i="6"/>
  <c r="G234" i="6"/>
  <c r="G224" i="6"/>
  <c r="I224" i="6"/>
  <c r="F234" i="6"/>
  <c r="J214" i="6"/>
  <c r="H214" i="6"/>
  <c r="F233" i="6"/>
  <c r="J224" i="6"/>
  <c r="I214" i="6"/>
  <c r="I233" i="6"/>
  <c r="E10" i="7"/>
  <c r="C26" i="7"/>
  <c r="C9" i="7"/>
  <c r="E29" i="7"/>
  <c r="U59" i="10" s="1"/>
  <c r="E31" i="7"/>
  <c r="E27" i="7"/>
  <c r="C6" i="7"/>
  <c r="C16" i="7"/>
  <c r="W35" i="10" s="1"/>
  <c r="W28" i="10" s="1"/>
  <c r="C8" i="7"/>
  <c r="E7" i="7"/>
  <c r="E20" i="7"/>
  <c r="C22" i="7"/>
  <c r="U35" i="10" s="1"/>
  <c r="E5" i="7"/>
  <c r="C2" i="7"/>
  <c r="E15" i="7"/>
  <c r="H197" i="6"/>
  <c r="I197" i="6"/>
  <c r="I191" i="6"/>
  <c r="H191" i="6"/>
  <c r="H188" i="6"/>
  <c r="I188" i="6"/>
  <c r="I174" i="6"/>
  <c r="H174" i="6"/>
  <c r="I172" i="6"/>
  <c r="H172" i="6"/>
  <c r="H169" i="6"/>
  <c r="I169" i="6"/>
  <c r="I166" i="6"/>
  <c r="H166" i="6"/>
  <c r="H164" i="6"/>
  <c r="I164" i="6"/>
  <c r="H161" i="6"/>
  <c r="I161" i="6"/>
  <c r="I105" i="6"/>
  <c r="H105" i="6"/>
  <c r="I147" i="6"/>
  <c r="H147" i="6"/>
  <c r="H136" i="6"/>
  <c r="I136" i="6"/>
  <c r="H132" i="6"/>
  <c r="I132" i="6"/>
  <c r="H130" i="6"/>
  <c r="I130" i="6"/>
  <c r="H125" i="6"/>
  <c r="I125" i="6"/>
  <c r="I122" i="6"/>
  <c r="H122" i="6"/>
  <c r="H117" i="6"/>
  <c r="I117" i="6"/>
  <c r="C115" i="6"/>
  <c r="H111" i="6"/>
  <c r="I111" i="6"/>
  <c r="H109" i="6"/>
  <c r="I109" i="6"/>
  <c r="I106" i="6"/>
  <c r="H106" i="6"/>
  <c r="H107" i="6"/>
  <c r="H187" i="6"/>
  <c r="H179" i="6"/>
  <c r="I198" i="6"/>
  <c r="H156" i="6"/>
  <c r="I167" i="6"/>
  <c r="H134" i="6"/>
  <c r="C134" i="6" s="1"/>
  <c r="I140" i="6"/>
  <c r="I124" i="6"/>
  <c r="C124" i="6" s="1"/>
  <c r="I154" i="6"/>
  <c r="H138" i="6"/>
  <c r="H149" i="6"/>
  <c r="I203" i="6"/>
  <c r="H157" i="6"/>
  <c r="H113" i="6"/>
  <c r="I129" i="6"/>
  <c r="C129" i="6" s="1"/>
  <c r="H168" i="6"/>
  <c r="I137" i="6"/>
  <c r="H150" i="6"/>
  <c r="H199" i="6"/>
  <c r="H182" i="6"/>
  <c r="H146" i="6"/>
  <c r="I185" i="6"/>
  <c r="H155" i="6"/>
  <c r="H170" i="6"/>
  <c r="I177" i="6"/>
  <c r="H153" i="6"/>
  <c r="I181" i="6"/>
  <c r="Q81" i="10"/>
  <c r="Q82" i="10"/>
  <c r="Q83" i="10"/>
  <c r="Q84" i="10"/>
  <c r="Q85" i="10"/>
  <c r="Q86" i="10"/>
  <c r="Q87" i="10"/>
  <c r="Q88" i="10"/>
  <c r="Q89" i="10"/>
  <c r="Q90" i="10"/>
  <c r="Q91" i="10"/>
  <c r="E228" i="6"/>
  <c r="G228" i="6" s="1"/>
  <c r="D228" i="6"/>
  <c r="F228" i="6" s="1"/>
  <c r="C114" i="6"/>
  <c r="Q92" i="10"/>
  <c r="Q93" i="10"/>
  <c r="Q94" i="10"/>
  <c r="Q95" i="10"/>
  <c r="Q96" i="10"/>
  <c r="Q97" i="10"/>
  <c r="Q98" i="10"/>
  <c r="Q99" i="10"/>
  <c r="Q100" i="10"/>
  <c r="Q101" i="10"/>
  <c r="Q102" i="10"/>
  <c r="Q103" i="10"/>
  <c r="Q104" i="10"/>
  <c r="Q105" i="10"/>
  <c r="Q106" i="10"/>
  <c r="E105" i="8"/>
  <c r="D237" i="6"/>
  <c r="H237" i="6" s="1"/>
  <c r="D217" i="6"/>
  <c r="D218" i="6"/>
  <c r="F217" i="6" s="1"/>
  <c r="E1" i="7"/>
  <c r="E12" i="7"/>
  <c r="C21" i="7"/>
  <c r="C19" i="7"/>
  <c r="C28" i="7"/>
  <c r="C14" i="7"/>
  <c r="E9" i="7"/>
  <c r="E32" i="7"/>
  <c r="C25" i="7"/>
  <c r="E24" i="7"/>
  <c r="S59" i="10" s="1"/>
  <c r="C18" i="7"/>
  <c r="E106" i="8"/>
  <c r="C3" i="7"/>
  <c r="E28" i="7"/>
  <c r="C31" i="7"/>
  <c r="C11" i="7"/>
  <c r="E2" i="7"/>
  <c r="E16" i="7"/>
  <c r="C20" i="7"/>
  <c r="C13" i="7"/>
  <c r="T35" i="10" s="1"/>
  <c r="E25" i="7"/>
  <c r="E3" i="7"/>
  <c r="E17" i="7"/>
  <c r="E26" i="7"/>
  <c r="C30" i="7"/>
  <c r="E21" i="7"/>
  <c r="E19" i="7"/>
  <c r="C7" i="7"/>
  <c r="C27" i="7"/>
  <c r="C29" i="7"/>
  <c r="E6" i="7"/>
  <c r="E30" i="7"/>
  <c r="H223" i="6"/>
  <c r="Q5" i="10"/>
  <c r="Q73" i="10"/>
  <c r="K23" i="3"/>
  <c r="C113" i="6"/>
  <c r="Q47" i="10"/>
  <c r="Q63" i="10"/>
  <c r="Q66" i="10"/>
  <c r="Q70" i="10"/>
  <c r="Q41" i="10"/>
  <c r="Q67" i="10"/>
  <c r="Q78" i="10"/>
  <c r="I26" i="3"/>
  <c r="J26" i="3" s="1"/>
  <c r="E223" i="6"/>
  <c r="Q7" i="10"/>
  <c r="Q9" i="10"/>
  <c r="Q13" i="10"/>
  <c r="Q15" i="10"/>
  <c r="Q17" i="10"/>
  <c r="Q19" i="10"/>
  <c r="Q25" i="10"/>
  <c r="Q28" i="10"/>
  <c r="Q30" i="10"/>
  <c r="Q35" i="10"/>
  <c r="Q37" i="10"/>
  <c r="Q40" i="10"/>
  <c r="Q43" i="10"/>
  <c r="Q45" i="10"/>
  <c r="Q49" i="10"/>
  <c r="Q52" i="10"/>
  <c r="Q54" i="10"/>
  <c r="Q56" i="10"/>
  <c r="Q59" i="10"/>
  <c r="Q61" i="10"/>
  <c r="Q64" i="10"/>
  <c r="Q69" i="10"/>
  <c r="Q2" i="10"/>
  <c r="Q8" i="10"/>
  <c r="Q10" i="10"/>
  <c r="Q12" i="10"/>
  <c r="Q14" i="10"/>
  <c r="Q16" i="10"/>
  <c r="Q18" i="10"/>
  <c r="Q20" i="10"/>
  <c r="Q26" i="10"/>
  <c r="Q29" i="10"/>
  <c r="Q31" i="10"/>
  <c r="Q34" i="10"/>
  <c r="Q36" i="10"/>
  <c r="Q38" i="10"/>
  <c r="Q42" i="10"/>
  <c r="Q44" i="10"/>
  <c r="Q48" i="10"/>
  <c r="Q50" i="10"/>
  <c r="Q53" i="10"/>
  <c r="Q55" i="10"/>
  <c r="Q57" i="10"/>
  <c r="Q60" i="10"/>
  <c r="Q62" i="10"/>
  <c r="Q65" i="10"/>
  <c r="I223" i="6"/>
  <c r="I213" i="6"/>
  <c r="Q4" i="10"/>
  <c r="Q6" i="10"/>
  <c r="E213" i="6"/>
  <c r="Q58" i="10"/>
  <c r="J209" i="6"/>
  <c r="F220" i="6"/>
  <c r="I210" i="6"/>
  <c r="Q1" i="10"/>
  <c r="H229" i="6"/>
  <c r="I25" i="3"/>
  <c r="J25" i="3" s="1"/>
  <c r="I209" i="6"/>
  <c r="F209" i="6"/>
  <c r="F210" i="6"/>
  <c r="I230" i="6"/>
  <c r="H219" i="6"/>
  <c r="G219" i="6"/>
  <c r="I23" i="3"/>
  <c r="C10" i="10" s="1"/>
  <c r="Q46" i="10"/>
  <c r="J230" i="6"/>
  <c r="F230" i="6"/>
  <c r="G230" i="6"/>
  <c r="J220" i="6"/>
  <c r="F219" i="6"/>
  <c r="I220" i="6"/>
  <c r="E229" i="6"/>
  <c r="C13" i="10"/>
  <c r="C121" i="6"/>
  <c r="I217" i="6"/>
  <c r="C109" i="6"/>
  <c r="J6" i="7"/>
  <c r="G5" i="7"/>
  <c r="F110" i="8"/>
  <c r="C104" i="8"/>
  <c r="E18" i="10" s="1"/>
  <c r="I204" i="6"/>
  <c r="H196" i="6"/>
  <c r="H192" i="6"/>
  <c r="I148" i="6"/>
  <c r="H232" i="6"/>
  <c r="C210" i="6"/>
  <c r="G110" i="8"/>
  <c r="D104" i="8"/>
  <c r="E110" i="8"/>
  <c r="B104" i="8"/>
  <c r="J212" i="6"/>
  <c r="H216" i="6"/>
  <c r="I215" i="6"/>
  <c r="C219" i="6"/>
  <c r="G212" i="6"/>
  <c r="I211" i="6"/>
  <c r="I212" i="6"/>
  <c r="J215" i="6"/>
  <c r="C232" i="6"/>
  <c r="C238" i="6"/>
  <c r="F238" i="6"/>
  <c r="F237" i="6"/>
  <c r="H238" i="6"/>
  <c r="I238" i="6"/>
  <c r="G238" i="6"/>
  <c r="G237" i="6"/>
  <c r="V59" i="10"/>
  <c r="I24" i="3"/>
  <c r="Q3" i="10"/>
  <c r="Q11" i="10"/>
  <c r="V34" i="10"/>
  <c r="J227" i="6"/>
  <c r="H131" i="6"/>
  <c r="C131" i="6" s="1"/>
  <c r="H110" i="6"/>
  <c r="C110" i="6" s="1"/>
  <c r="C128" i="6"/>
  <c r="I180" i="6"/>
  <c r="H159" i="6"/>
  <c r="I120" i="6"/>
  <c r="C120" i="6" s="1"/>
  <c r="J228" i="6"/>
  <c r="C7" i="10"/>
  <c r="H200" i="6"/>
  <c r="H184" i="6"/>
  <c r="H141" i="6"/>
  <c r="H139" i="6"/>
  <c r="H135" i="6"/>
  <c r="H112" i="6"/>
  <c r="C112" i="6" s="1"/>
  <c r="I116" i="6"/>
  <c r="C116" i="6" s="1"/>
  <c r="G218" i="6"/>
  <c r="E227" i="6"/>
  <c r="C228" i="6"/>
  <c r="I227" i="6"/>
  <c r="H218" i="6" l="1"/>
  <c r="I237" i="6"/>
  <c r="V58" i="10"/>
  <c r="K25" i="3"/>
  <c r="K26" i="3"/>
  <c r="C117" i="6"/>
  <c r="C130" i="6"/>
  <c r="C132" i="6"/>
  <c r="C122" i="6"/>
  <c r="C125" i="6"/>
  <c r="T58" i="10"/>
  <c r="C107" i="6"/>
  <c r="C108" i="6"/>
  <c r="I218" i="6"/>
  <c r="J237" i="6"/>
  <c r="K24" i="3"/>
  <c r="E6" i="10"/>
  <c r="T34" i="10"/>
  <c r="R34" i="10"/>
  <c r="R27" i="10" s="1"/>
  <c r="S34" i="10"/>
  <c r="C105" i="6"/>
  <c r="J238" i="6"/>
  <c r="T59" i="10"/>
  <c r="S52" i="10" s="1"/>
  <c r="W59" i="10"/>
  <c r="W52" i="10" s="1"/>
  <c r="S58" i="10"/>
  <c r="S51" i="10" s="1"/>
  <c r="S35" i="10"/>
  <c r="R35" i="10"/>
  <c r="R28" i="10" s="1"/>
  <c r="C106" i="6"/>
  <c r="C111" i="6"/>
  <c r="I228" i="6"/>
  <c r="G227" i="6"/>
  <c r="H228" i="6"/>
  <c r="F227" i="6"/>
  <c r="S28" i="10"/>
  <c r="U58" i="10"/>
  <c r="U51" i="10" s="1"/>
  <c r="W58" i="10"/>
  <c r="W51" i="10" s="1"/>
  <c r="W53" i="10" s="1"/>
  <c r="C35" i="7"/>
  <c r="A1" i="14" s="1"/>
  <c r="E35" i="7"/>
  <c r="D250" i="6" s="1"/>
  <c r="F250" i="6" s="1"/>
  <c r="H250" i="6" s="1"/>
  <c r="J250" i="6" s="1"/>
  <c r="D242" i="6"/>
  <c r="F242" i="6" s="1"/>
  <c r="H242" i="6" s="1"/>
  <c r="J242" i="6" s="1"/>
  <c r="V35" i="10"/>
  <c r="U28" i="10" s="1"/>
  <c r="J217" i="6"/>
  <c r="J218" i="6"/>
  <c r="W34" i="10"/>
  <c r="W27" i="10" s="1"/>
  <c r="W29" i="10" s="1"/>
  <c r="R58" i="10"/>
  <c r="R51" i="10" s="1"/>
  <c r="R53" i="10" s="1"/>
  <c r="U34" i="10"/>
  <c r="U27" i="10" s="1"/>
  <c r="F218" i="6"/>
  <c r="H217" i="6"/>
  <c r="U52" i="10"/>
  <c r="C12" i="10"/>
  <c r="J23" i="3"/>
  <c r="P7" i="10"/>
  <c r="C4" i="10" s="1"/>
  <c r="D4" i="10" s="1"/>
  <c r="C15" i="10"/>
  <c r="D15" i="10" s="1"/>
  <c r="C11" i="10"/>
  <c r="G6" i="7"/>
  <c r="J7" i="7"/>
  <c r="C17" i="10"/>
  <c r="D17" i="10" s="1"/>
  <c r="E17" i="10"/>
  <c r="E19" i="10"/>
  <c r="C19" i="10"/>
  <c r="D19" i="10" s="1"/>
  <c r="C220" i="6"/>
  <c r="I219" i="6"/>
  <c r="E219" i="6"/>
  <c r="J24" i="3"/>
  <c r="C14" i="10" l="1"/>
  <c r="G241" i="6" s="1"/>
  <c r="G242" i="6" s="1"/>
  <c r="R29" i="10"/>
  <c r="G249" i="6"/>
  <c r="G250" i="6" s="1"/>
  <c r="S27" i="10"/>
  <c r="S29" i="10" s="1"/>
  <c r="A1" i="13"/>
  <c r="U53" i="10"/>
  <c r="S53" i="10"/>
  <c r="U29" i="10"/>
  <c r="J8" i="7"/>
  <c r="G7" i="7"/>
  <c r="C249" i="6" l="1"/>
  <c r="E249" i="6" s="1"/>
  <c r="E250" i="6" s="1"/>
  <c r="R25" i="10"/>
  <c r="I249" i="6"/>
  <c r="I250" i="6" s="1"/>
  <c r="C241" i="6"/>
  <c r="C21" i="10"/>
  <c r="D21" i="10" s="1"/>
  <c r="G8" i="7"/>
  <c r="J9" i="7"/>
  <c r="C250" i="6" l="1"/>
  <c r="C23" i="10"/>
  <c r="D23" i="10" s="1"/>
  <c r="I241" i="6"/>
  <c r="I242" i="6" s="1"/>
  <c r="C242" i="6"/>
  <c r="E241" i="6"/>
  <c r="E242" i="6" s="1"/>
  <c r="J10" i="7"/>
  <c r="G9" i="7"/>
  <c r="G10" i="7" l="1"/>
  <c r="J11" i="7"/>
  <c r="J12" i="7" l="1"/>
  <c r="G11" i="7"/>
  <c r="G12" i="7" l="1"/>
  <c r="J13" i="7"/>
  <c r="J14" i="7" l="1"/>
  <c r="G13" i="7"/>
  <c r="G14" i="7" l="1"/>
  <c r="J15" i="7"/>
  <c r="G15" i="7" l="1"/>
  <c r="J16" i="7"/>
  <c r="G16" i="7" l="1"/>
  <c r="J17" i="7"/>
  <c r="S44" i="10"/>
  <c r="R44" i="10"/>
  <c r="C245" i="6"/>
  <c r="C252" i="6"/>
  <c r="E245" i="6" l="1"/>
  <c r="E246" i="6" s="1"/>
  <c r="C246" i="6"/>
  <c r="G17" i="7"/>
  <c r="J18" i="7"/>
  <c r="G18" i="7" l="1"/>
  <c r="J19" i="7"/>
  <c r="G19" i="7" l="1"/>
  <c r="J20" i="7"/>
  <c r="G20" i="7" l="1"/>
  <c r="J21" i="7"/>
  <c r="G21" i="7" l="1"/>
  <c r="J22" i="7"/>
  <c r="G22" i="7" l="1"/>
  <c r="J23" i="7"/>
  <c r="G23" i="7" l="1"/>
  <c r="J24" i="7"/>
  <c r="G24" i="7" l="1"/>
  <c r="J25" i="7"/>
  <c r="W44" i="10"/>
  <c r="U42" i="10"/>
  <c r="U44" i="10"/>
  <c r="R42" i="10"/>
  <c r="S42" i="10"/>
  <c r="G25" i="7" l="1"/>
  <c r="G245" i="6" s="1"/>
  <c r="J26" i="7"/>
  <c r="G246" i="6" l="1"/>
  <c r="I245" i="6"/>
  <c r="I246" i="6" s="1"/>
  <c r="G26" i="7"/>
  <c r="J27" i="7"/>
  <c r="G27" i="7" l="1"/>
  <c r="J28" i="7"/>
  <c r="G28" i="7" l="1"/>
  <c r="J29" i="7"/>
  <c r="G29" i="7" l="1"/>
  <c r="J30" i="7"/>
  <c r="G30" i="7" l="1"/>
  <c r="J31" i="7"/>
  <c r="W42" i="10"/>
  <c r="G31" i="7" l="1"/>
  <c r="H1" i="7" s="1" a="1"/>
  <c r="J35" i="7"/>
  <c r="H15" i="7" l="1"/>
  <c r="H5" i="7"/>
  <c r="H22" i="7"/>
  <c r="H18" i="7"/>
  <c r="H13" i="7"/>
  <c r="H31" i="7"/>
  <c r="H25" i="7"/>
  <c r="H20" i="7"/>
  <c r="H12" i="7"/>
  <c r="H6" i="7"/>
  <c r="H24" i="7"/>
  <c r="H16" i="7"/>
  <c r="H19" i="7"/>
  <c r="H4" i="7"/>
  <c r="H7" i="7"/>
  <c r="H28" i="7"/>
  <c r="H14" i="7"/>
  <c r="H10" i="7"/>
  <c r="H3" i="7"/>
  <c r="H1" i="7"/>
  <c r="H8" i="7"/>
  <c r="H2" i="7"/>
  <c r="H21" i="7"/>
  <c r="H29" i="7"/>
  <c r="H30" i="7"/>
  <c r="H9" i="7"/>
  <c r="H27" i="7"/>
  <c r="H23" i="7"/>
  <c r="H26" i="7"/>
  <c r="H17" i="7"/>
  <c r="H11" i="7"/>
  <c r="U46" i="10" l="1"/>
  <c r="V46" i="10"/>
  <c r="U47" i="10"/>
  <c r="T46" i="10"/>
  <c r="W46" i="10"/>
  <c r="W39" i="10" s="1"/>
  <c r="H35" i="7"/>
  <c r="V47" i="10"/>
  <c r="W47" i="10"/>
  <c r="W40" i="10" s="1"/>
  <c r="R47" i="10"/>
  <c r="R40" i="10" s="1"/>
  <c r="S46" i="10"/>
  <c r="T47" i="10"/>
  <c r="S47" i="10"/>
  <c r="R46" i="10"/>
  <c r="R39" i="10" s="1"/>
  <c r="R41" i="10" l="1"/>
  <c r="C22" i="10" s="1"/>
  <c r="D22" i="10" s="1"/>
  <c r="D24" i="10" s="1"/>
  <c r="C29" i="10" s="1"/>
  <c r="U39" i="10"/>
  <c r="U40" i="10"/>
  <c r="S39" i="10"/>
  <c r="W41" i="10"/>
  <c r="S40" i="10"/>
  <c r="A1" i="12"/>
  <c r="D246" i="6"/>
  <c r="F246" i="6" s="1"/>
  <c r="H246" i="6" s="1"/>
  <c r="J246" i="6" s="1"/>
  <c r="C26" i="10" l="1"/>
  <c r="C28" i="10"/>
  <c r="C27" i="10"/>
  <c r="S41" i="10"/>
  <c r="U41" i="10"/>
  <c r="H28" i="3" l="1"/>
</calcChain>
</file>

<file path=xl/sharedStrings.xml><?xml version="1.0" encoding="utf-8"?>
<sst xmlns="http://schemas.openxmlformats.org/spreadsheetml/2006/main" count="217" uniqueCount="144">
  <si>
    <t>Ci</t>
  </si>
  <si>
    <t>DsA</t>
  </si>
  <si>
    <t>Hi</t>
  </si>
  <si>
    <t>Порода</t>
  </si>
  <si>
    <t>Диапазон Ci</t>
  </si>
  <si>
    <t>Диапазон DsA</t>
  </si>
  <si>
    <t>Диапазон Hi</t>
  </si>
  <si>
    <t>min</t>
  </si>
  <si>
    <t>max</t>
  </si>
  <si>
    <t>Caucasica</t>
  </si>
  <si>
    <t>Ligustica</t>
  </si>
  <si>
    <t>Carnica</t>
  </si>
  <si>
    <t>Предполагаемая порода</t>
  </si>
  <si>
    <t>№ п.п.</t>
  </si>
  <si>
    <t>№ позиции</t>
  </si>
  <si>
    <t>X</t>
  </si>
  <si>
    <t>Y</t>
  </si>
  <si>
    <t>МО</t>
  </si>
  <si>
    <t>СКО</t>
  </si>
  <si>
    <t>K2</t>
  </si>
  <si>
    <t>K3</t>
  </si>
  <si>
    <r>
      <t xml:space="preserve">                                     Алгоритм</t>
    </r>
    <r>
      <rPr>
        <sz val="12"/>
        <rFont val="Arial"/>
        <family val="2"/>
        <charset val="204"/>
      </rPr>
      <t xml:space="preserve">
     Для каждой позиции листа </t>
    </r>
    <r>
      <rPr>
        <b/>
        <sz val="12"/>
        <rFont val="Arial"/>
        <family val="2"/>
        <charset val="204"/>
      </rPr>
      <t>ИД</t>
    </r>
    <r>
      <rPr>
        <sz val="12"/>
        <rFont val="Arial"/>
        <family val="2"/>
        <charset val="204"/>
      </rPr>
      <t xml:space="preserve"> значения Ci, DsA и Hi сравниваются последовательно с эталонными диапазонами показателей для всех пород листа "</t>
    </r>
    <r>
      <rPr>
        <b/>
        <sz val="12"/>
        <rFont val="Arial"/>
        <family val="2"/>
        <charset val="204"/>
      </rPr>
      <t>Породы</t>
    </r>
    <r>
      <rPr>
        <sz val="12"/>
        <rFont val="Arial"/>
        <family val="2"/>
        <charset val="204"/>
      </rPr>
      <t>". Если позиция удовлетворяет диапазонам всех показателей какой-либо породы, в соответствующей колонке графы "Предполагаемая порода" записывается наименование этой породы.
     Т.к. эталонные диапазоны показателей разных пород могут иметь общую область значений, позиция может удовлетворять диапазонам для нескольких пород и, соответственно, будет отнесена к нескольким породам.</t>
    </r>
  </si>
  <si>
    <t>MIN</t>
  </si>
  <si>
    <t>MAX</t>
  </si>
  <si>
    <t>Доверительный интервал (95%)</t>
  </si>
  <si>
    <t>Левая вертикаль</t>
  </si>
  <si>
    <t>Горизонт верх</t>
  </si>
  <si>
    <t>Правая вертикаль</t>
  </si>
  <si>
    <t>Горизонт низ</t>
  </si>
  <si>
    <t>CI-DS</t>
  </si>
  <si>
    <t>Doverit</t>
  </si>
  <si>
    <t>CI-HI</t>
  </si>
  <si>
    <t>HI-DS</t>
  </si>
  <si>
    <t>Количество позиций</t>
  </si>
  <si>
    <t>Анализ результатов исследований</t>
  </si>
  <si>
    <t>Неопределившееся:</t>
  </si>
  <si>
    <t>Показатель</t>
  </si>
  <si>
    <t>Значение</t>
  </si>
  <si>
    <t>Примечание</t>
  </si>
  <si>
    <t xml:space="preserve"> - кубитальный индекс</t>
  </si>
  <si>
    <t xml:space="preserve"> - дискоидальное смещение</t>
  </si>
  <si>
    <t xml:space="preserve"> - гантельный индекс</t>
  </si>
  <si>
    <t xml:space="preserve"> - для дальнейшей селекции</t>
  </si>
  <si>
    <t xml:space="preserve"> - в качестве одной из семей репродуктора маток</t>
  </si>
  <si>
    <t xml:space="preserve"> - для вывода маток себе и друзьям</t>
  </si>
  <si>
    <t xml:space="preserve"> - кубитальному индексу</t>
  </si>
  <si>
    <t xml:space="preserve"> - дискоидальному смещению</t>
  </si>
  <si>
    <t xml:space="preserve"> - гантельному индексу</t>
  </si>
  <si>
    <t xml:space="preserve"> </t>
  </si>
  <si>
    <t>4</t>
  </si>
  <si>
    <t>5</t>
  </si>
  <si>
    <t>6</t>
  </si>
  <si>
    <t>7</t>
  </si>
  <si>
    <t>8</t>
  </si>
  <si>
    <t>Количество исследованных крыльев</t>
  </si>
  <si>
    <t>Количество неиндетифицированных крыльев</t>
  </si>
  <si>
    <t>Распределение идентифицированных крыльев по породам:</t>
  </si>
  <si>
    <t>Превалирующая порода</t>
  </si>
  <si>
    <t>Вероятностная оценка соответствия исследуемой семьи признакам превалирующей породы</t>
  </si>
  <si>
    <t>Целостность исследуемой семьи по:</t>
  </si>
  <si>
    <t>Пригодность*:</t>
  </si>
  <si>
    <t xml:space="preserve"> - в качестве родоначальницы линии**</t>
  </si>
  <si>
    <r>
      <t>*)</t>
    </r>
    <r>
      <rPr>
        <sz val="10"/>
        <rFont val="Arial"/>
        <family val="2"/>
        <charset val="204"/>
      </rPr>
      <t xml:space="preserve"> при пригодности исследуемой семьи на одном из уровней рекомендуется дополнительно выполнить исследования в НИИ Пчеловодства или в Институте биохимии и генетики:
 - </t>
    </r>
    <r>
      <rPr>
        <b/>
        <sz val="10"/>
        <rFont val="Arial"/>
        <family val="2"/>
        <charset val="204"/>
      </rPr>
      <t>НИИ Пчеловодства:</t>
    </r>
    <r>
      <rPr>
        <sz val="10"/>
        <rFont val="Arial"/>
        <family val="2"/>
        <charset val="204"/>
      </rPr>
      <t xml:space="preserve"> 391110 Рязанская обл., г.Рыбное, ул.Почтовая, 22. Институт пчеловодства, отдел селекции пчел, Бородачеву Анатолию Владимировичу 
 - </t>
    </r>
    <r>
      <rPr>
        <b/>
        <sz val="10"/>
        <rFont val="Arial"/>
        <family val="2"/>
        <charset val="204"/>
      </rPr>
      <t>Институт биохимии и генетики:</t>
    </r>
    <r>
      <rPr>
        <sz val="10"/>
        <rFont val="Arial"/>
        <family val="2"/>
        <charset val="204"/>
      </rPr>
      <t xml:space="preserve"> 450054 Уфа, проспект Октября, 71, Институт биохимии и генетики, лаборатория биохимии адаптивности насекомых, Николенко Алексею Геннадьевичу
</t>
    </r>
    <r>
      <rPr>
        <vertAlign val="superscript"/>
        <sz val="10"/>
        <rFont val="Arial"/>
        <family val="2"/>
        <charset val="204"/>
      </rPr>
      <t>**)</t>
    </r>
    <r>
      <rPr>
        <sz val="10"/>
        <rFont val="Arial"/>
        <family val="2"/>
        <charset val="204"/>
      </rPr>
      <t xml:space="preserve"> после проверки передачи породных признаков по наследству</t>
    </r>
  </si>
  <si>
    <t>См. лист "Индексы"</t>
  </si>
  <si>
    <t>См. лист "Результаты"</t>
  </si>
  <si>
    <t>См. строку 102 листа "Индексы"</t>
  </si>
  <si>
    <t>КИ, %</t>
  </si>
  <si>
    <r>
      <t>К</t>
    </r>
    <r>
      <rPr>
        <b/>
        <vertAlign val="subscript"/>
        <sz val="10"/>
        <rFont val="Arial"/>
        <family val="2"/>
        <charset val="204"/>
      </rPr>
      <t>вар</t>
    </r>
  </si>
  <si>
    <t>5. Дополнительно введен коэффициент вариации индексов (строка 104 листа "Индексы)</t>
  </si>
  <si>
    <r>
      <t xml:space="preserve">Отличия от второй версии - </t>
    </r>
    <r>
      <rPr>
        <b/>
        <i/>
        <sz val="12"/>
        <rFont val="Arial"/>
        <family val="2"/>
        <charset val="204"/>
      </rPr>
      <t>Порода по крыльям, в. 2_07.09.13 (Исправлена вер.оценка)</t>
    </r>
  </si>
  <si>
    <r>
      <t xml:space="preserve">3. Изменен допустимый диапазон граничных значений КИ на листе "Породы" - он теперь принят от </t>
    </r>
    <r>
      <rPr>
        <b/>
        <sz val="10"/>
        <rFont val="Arial"/>
        <family val="2"/>
        <charset val="204"/>
      </rPr>
      <t>0,71</t>
    </r>
    <r>
      <rPr>
        <sz val="10"/>
        <rFont val="Arial"/>
        <family val="2"/>
        <charset val="204"/>
      </rPr>
      <t xml:space="preserve"> (нижняя граница 1 класса) до </t>
    </r>
    <r>
      <rPr>
        <b/>
        <sz val="10"/>
        <rFont val="Arial"/>
        <family val="2"/>
        <charset val="204"/>
      </rPr>
      <t>5,67</t>
    </r>
    <r>
      <rPr>
        <sz val="10"/>
        <rFont val="Arial"/>
        <family val="2"/>
        <charset val="204"/>
      </rPr>
      <t xml:space="preserve"> (верхняя граница 26 класса)</t>
    </r>
  </si>
  <si>
    <t>Сосед справа</t>
  </si>
  <si>
    <t>Сосед слева</t>
  </si>
  <si>
    <t xml:space="preserve"> - для корректного определения первого (последнего) классов породных диапазонов КИ рекомендуется диапазоны принимать равными граничным значениям классов КИ</t>
  </si>
  <si>
    <t xml:space="preserve"> - граничные значения классов КИ следующие: 0,71; 0,76; 0,81; 0,87; 0,93; 1,0; 1,07; 1,14; 1,22; 1,31; 1,4; 1,5; 1,61; 1,73; 1,86; 2,0 ;2,16; 2,33; 2,53; 2,75;3,0; 3,29; 3,62; 4,0; 4,45 ;5,0; 5,67</t>
  </si>
  <si>
    <t>1 порода</t>
  </si>
  <si>
    <t>2 порода</t>
  </si>
  <si>
    <t>3 порода</t>
  </si>
  <si>
    <t>4 порода</t>
  </si>
  <si>
    <t>Номер превалирующей породы</t>
  </si>
  <si>
    <t>% крылышек в критических диапазонах второго ранга - допускается 2%</t>
  </si>
  <si>
    <t>% крылышек в критических диапазонах первого ранга - допускается 15%</t>
  </si>
  <si>
    <t>1. Улучшен дизайн программы при обработке данных - убрано "мельтешение" экрана, увеличена скорость обработки данных, убран выбор детализации организации исходного файла (с разделителями/без них, какой разделитель)</t>
  </si>
  <si>
    <t>6. Улучшена оценка целостности семьи на основе использования коэффициента вариации (оценивается только по КИ и HI, по DsA не анализируется, т.к. МО DsA может быть близко к нулю)</t>
  </si>
  <si>
    <t>CI</t>
  </si>
  <si>
    <t>Расчетные морфометрические показатели с учетом ошибки репрезантативности:</t>
  </si>
  <si>
    <t xml:space="preserve"> - критической областью первого ранга считается область, смежная с граничащей породой. Она начинается в первом (последнем) классе породного диапазона и имеет длину 3 класса. В этой области допускается до 15% крылышек</t>
  </si>
  <si>
    <t xml:space="preserve"> - критической областью второго ранга считается область, простирающаяся начиная после трех классов от первого (последнего) класса породного диапазона. В этой области допускается до 2% крылышек</t>
  </si>
  <si>
    <t>2. Реализовано масштабирование размерности шкалы графика № 5 - определяется динамически исходя из увеличенного на 2 ед. максимального значения графика</t>
  </si>
  <si>
    <t>4. Реализована возможность обработки "слитого" ТПС-файла (сформированного путем добавления точек нового скана к ранее созданному)</t>
  </si>
  <si>
    <t>8. Оценка математического ожидания индексов выполнена с учетом ошибки репрезентативности</t>
  </si>
  <si>
    <t>9. Добавлена проверка, чтобы породы были перечислены на листе "Породы" в порядке возрастания величины КИ</t>
  </si>
  <si>
    <t>7. Повышены требования к семье, которую возможно использовать в качестве одной из семей репродуктора маток – п. 6 листа «Анализ" должен быть больше 90%</t>
  </si>
  <si>
    <t xml:space="preserve">Реализация пунктов 9 и 10 позволила пользователям самим заменять и породу, и породные диапазоны. </t>
  </si>
  <si>
    <t>11. На листе "Результаты" для каждого крылышка добавлено значение показателя КИ</t>
  </si>
  <si>
    <t>Ссылка на верхний класс породного диапазона</t>
  </si>
  <si>
    <t>Ссылка на нижний класс породного диапазона</t>
  </si>
  <si>
    <t>График 5. Распределение частоты CI</t>
  </si>
  <si>
    <t>Граница диапазона</t>
  </si>
  <si>
    <t>Граница допустимого интервала</t>
  </si>
  <si>
    <t>Количество крылышек в критических диапазонах второго ранга (для средних пород справа, затем слева)</t>
  </si>
  <si>
    <t>Количество крылышек в критических диапазонах первого ранга (для средних пород справа, затем слева)</t>
  </si>
  <si>
    <t>12. Превалирующая порода теперь определяется по вероятностной оценке, а не по максимальному количеству исследованных крыльев, принадлежащих породе</t>
  </si>
  <si>
    <t>График 5. Распределение частоты DsA</t>
  </si>
  <si>
    <t>График 5. Распределение частоты HI</t>
  </si>
  <si>
    <t>HI</t>
  </si>
  <si>
    <t>Класс</t>
  </si>
  <si>
    <t>Границы класса</t>
  </si>
  <si>
    <t>коли--во</t>
  </si>
  <si>
    <t>Кол-во</t>
  </si>
  <si>
    <t>DsD</t>
  </si>
  <si>
    <t>Кубитальный индекс</t>
  </si>
  <si>
    <t>Дискоидальное смещение</t>
  </si>
  <si>
    <t>Количество крылышек в критических диапазонах (для средних пород справа, затем слева)</t>
  </si>
  <si>
    <t>Гантельный индекс</t>
  </si>
  <si>
    <t>Количество баллов</t>
  </si>
  <si>
    <t>Баллы</t>
  </si>
  <si>
    <t>См. лист "Результаты". 5 баллов начисляется за 100%. За каждые 10% снижения начисляется "-1"</t>
  </si>
  <si>
    <r>
      <t xml:space="preserve">Оценивается по величине коэффициента вариации, см. строку 104 листа "Индексы". 
</t>
    </r>
    <r>
      <rPr>
        <b/>
        <sz val="11"/>
        <color indexed="8"/>
        <rFont val="Arial"/>
        <family val="2"/>
        <charset val="204"/>
      </rPr>
      <t xml:space="preserve">Шкала оценок Квар: 
</t>
    </r>
    <r>
      <rPr>
        <sz val="11"/>
        <color indexed="8"/>
        <rFont val="Arial"/>
        <family val="2"/>
        <charset val="204"/>
      </rPr>
      <t xml:space="preserve">- идеальная (для КИ &lt;12,5%, ГИ &lt;6,5%). Нач. 2 балла;
- нормальная (КИ 12,5-20%, ГИ 6,5-7,5%). Нач. 1 балл;
- не обеспечена (для КИ&gt;20%, ГИ&gt;7,5%) </t>
    </r>
  </si>
  <si>
    <t>Степень гибридизации по:</t>
  </si>
  <si>
    <r>
      <t>Шкала оценок:</t>
    </r>
    <r>
      <rPr>
        <sz val="10"/>
        <color indexed="8"/>
        <rFont val="Arial"/>
        <family val="2"/>
        <charset val="204"/>
      </rPr>
      <t xml:space="preserve"> 
 - отсутствует. Нач. 3 баллов;
- несущественная (менее 50% от допустимой). Нач. 2 балла;
 - в допустимых пределах</t>
    </r>
    <r>
      <rPr>
        <sz val="8"/>
        <color indexed="8"/>
        <rFont val="Arial"/>
        <family val="2"/>
        <charset val="204"/>
      </rPr>
      <t xml:space="preserve"> (менее 15% в критической области первого ранга и менее 2% - в области второго). </t>
    </r>
    <r>
      <rPr>
        <sz val="10"/>
        <color indexed="8"/>
        <rFont val="Arial"/>
        <family val="2"/>
        <charset val="204"/>
      </rPr>
      <t>Нач. 1 балла;
 - гибрид</t>
    </r>
  </si>
  <si>
    <t>10</t>
  </si>
  <si>
    <t>Сумма баллов по п.п. 2, 6, 7, 8</t>
  </si>
  <si>
    <t>Количество баллов не менее 17</t>
  </si>
  <si>
    <t>Количество баллов должно быть не менее 15</t>
  </si>
  <si>
    <t>Количество баллов должно быть не менее 5.</t>
  </si>
  <si>
    <t>Количество баллов должно быть не менее 10.</t>
  </si>
  <si>
    <t>15. Добавлена оценка степени гибридизации по DsA и HI</t>
  </si>
  <si>
    <t>16. Добавлен расчет интегральной ценности семьи, определяемой исходя из балльных оценок по п.п. 2, 6, 7 и 8. Пригодность исследуемой семьи определяется исходя из суммы набранных баллов</t>
  </si>
  <si>
    <t>См. лист "Результаты". За каждые 5% (после округления) начисляется "-1"</t>
  </si>
  <si>
    <t>13. На графике распределения частоты CI добавлены границы породного диапазона (зеленая линия) и границы допустимого интервала (красная линия). Между зеленой линией (включая ее) и красной (исключая ее)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</si>
  <si>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Процент соответствия породам</t>
  </si>
  <si>
    <t>Прогнозная вероятностная оценка для семьи</t>
  </si>
  <si>
    <t>Исследованная проба пчел</t>
  </si>
  <si>
    <t>17. Изменен вид графика № 1, добавлены пояснения к цветовой схеме на листе "Графики"</t>
  </si>
  <si>
    <t>14. Добавлены графики распределения частоты HI и DsA. На них нанесены границы породных диапазонов (зеленые линии) и границы допустимого интервала (красные линии). Между зеленой и красной линиями (исключая их)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</si>
  <si>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10. Критические классы КИ, наличие крылышек в которых может означать гибридизацию семьи, определяются динамически с учетом принятых породных диапазонов, при этом:</t>
  </si>
  <si>
    <t>В принципе это можно было делать и раньше (все ячейки салатового цвета в программе разрешены к редактированию), однако определение гибридизации не было при этом привязано к породным диапазонам, и в случае их корректировки работало неверно</t>
  </si>
  <si>
    <r>
      <t xml:space="preserve">     На этот лист занесены штатные данные по породным диапазонам, используемым в качестве эталонов при идентификации породной принадлежности пчел. Они при необходимости могут быть изменены в зависимости от целей и задач, решаемых пользователем программы. Наименование пород также допускается менять, но при этом необходимо обеспечивать возрастание CI от первой породы ко второй, от второй к третьей и от третьей к четвертой. 
     Количество пород ограничено 4.
     При корректировке породных диапазонов установлены, в дополнение к отмеченным выше, ограничения, </t>
    </r>
    <r>
      <rPr>
        <b/>
        <sz val="11"/>
        <color indexed="8"/>
        <rFont val="Arial"/>
        <family val="2"/>
        <charset val="204"/>
      </rPr>
      <t>несоблюдение которых приведет к некорректной работе программы</t>
    </r>
    <r>
      <rPr>
        <sz val="11"/>
        <color indexed="8"/>
        <rFont val="Arial"/>
        <family val="2"/>
        <charset val="204"/>
      </rPr>
      <t xml:space="preserve">:
1).  </t>
    </r>
    <r>
      <rPr>
        <b/>
        <sz val="11"/>
        <color indexed="8"/>
        <rFont val="Arial"/>
        <family val="2"/>
        <charset val="204"/>
      </rPr>
      <t>0,76 &lt;= CI &lt;= 5,67</t>
    </r>
    <r>
      <rPr>
        <sz val="11"/>
        <color indexed="8"/>
        <rFont val="Arial"/>
        <family val="2"/>
        <charset val="204"/>
      </rPr>
      <t xml:space="preserve"> при этом они могут принимать только следующие значения: 0,76; 0,81; 0,87; 0,93; 1,00; 1,07; 1,14; 1,22; 1,31; 1,40; 1,50; 1,61; 1,73; 1,86; 2,00; 2,16; 2,33; 2,53; 2,75;3,00; 3,29; 3,62; 4,00; 4,45 ;5,00; 5,67.
2). </t>
    </r>
    <r>
      <rPr>
        <b/>
        <sz val="11"/>
        <color indexed="8"/>
        <rFont val="Arial"/>
        <family val="2"/>
        <charset val="204"/>
      </rPr>
      <t xml:space="preserve"> -15,31 &gt;= DsA &lt;= 12,39</t>
    </r>
    <r>
      <rPr>
        <sz val="11"/>
        <color indexed="8"/>
        <rFont val="Arial"/>
        <family val="2"/>
        <charset val="204"/>
      </rPr>
      <t xml:space="preserve"> при этом они могут принимать только следующие значения: -15,31; -14,33; -13,36; -12,39; -11,42; -10,46; 
-9,50; -8,54; -7,59; -6,63; -5,68; -4,73; -3,78; -2,84; -1,89; -0,95; 0; 0,95; 1,89; 2,84; 3,78; 4,73; 5,68; 6,63; 7,59; 8,54; 9,50; 10,46; 11,42; 12,39.
3). </t>
    </r>
    <r>
      <rPr>
        <b/>
        <sz val="11"/>
        <color indexed="8"/>
        <rFont val="Arial"/>
        <family val="2"/>
        <charset val="204"/>
      </rPr>
      <t xml:space="preserve"> 0,616 &gt;= HI &lt;= 1,420</t>
    </r>
    <r>
      <rPr>
        <sz val="11"/>
        <color indexed="8"/>
        <rFont val="Arial"/>
        <family val="2"/>
        <charset val="204"/>
      </rPr>
      <t xml:space="preserve"> при этом они могут принимать только следующие значения: 0,616; 0,630; 0,648; 0,666; 0,685; 0,704; 0,724; 0,744; 0,765; 0,786; 0,807; 0,829; 0,852; 0,876; 0,899; 0,923; 0,948; 0,974; 1,000; 1,027; 1,053; 1,083; 1,113; 1,143; 1,174; 1,206; 1,239; 1,272; 1,308; 1,344; 1,381; 1,420.
После корректировки диапазонов все данные листов "Результаты", "Графики" и "Анализ" обновляются автоматически.</t>
    </r>
  </si>
  <si>
    <t>18. Обеспечена более полная защита листов и макросов книги.</t>
  </si>
  <si>
    <r>
      <t xml:space="preserve">                                                                 ИНСТРУКЦИЯ</t>
    </r>
    <r>
      <rPr>
        <sz val="11"/>
        <color indexed="8"/>
        <rFont val="Arial"/>
        <family val="2"/>
        <charset val="204"/>
      </rPr>
      <t xml:space="preserve">
     На этот лист автоматически заносятся результаты расчета показателей  CI, DsA и HI на базе файла данных о координатах точек </t>
    </r>
    <r>
      <rPr>
        <b/>
        <sz val="11"/>
        <color indexed="8"/>
        <rFont val="Arial"/>
        <family val="2"/>
        <charset val="204"/>
      </rPr>
      <t>правых передних пчелиных крыльев</t>
    </r>
    <r>
      <rPr>
        <sz val="11"/>
        <color indexed="8"/>
        <rFont val="Arial"/>
        <family val="2"/>
        <charset val="204"/>
      </rPr>
      <t xml:space="preserve"> исследуемой породы, сформированного программой </t>
    </r>
    <r>
      <rPr>
        <b/>
        <sz val="11"/>
        <color indexed="8"/>
        <rFont val="Arial"/>
        <family val="2"/>
        <charset val="204"/>
      </rPr>
      <t>WingsDig</t>
    </r>
    <r>
      <rPr>
        <sz val="11"/>
        <color indexed="8"/>
        <rFont val="Arial"/>
        <family val="2"/>
        <charset val="204"/>
      </rPr>
      <t xml:space="preserve"> или </t>
    </r>
    <r>
      <rPr>
        <b/>
        <sz val="11"/>
        <color indexed="8"/>
        <rFont val="Arial"/>
        <family val="2"/>
        <charset val="204"/>
      </rPr>
      <t>TpsDig</t>
    </r>
    <r>
      <rPr>
        <sz val="11"/>
        <color indexed="8"/>
        <rFont val="Arial"/>
        <family val="2"/>
        <charset val="204"/>
      </rPr>
      <t xml:space="preserve"> (файл типа </t>
    </r>
    <r>
      <rPr>
        <b/>
        <sz val="11"/>
        <color indexed="8"/>
        <rFont val="Arial"/>
        <family val="2"/>
        <charset val="204"/>
      </rPr>
      <t>TPS</t>
    </r>
    <r>
      <rPr>
        <sz val="11"/>
        <color indexed="8"/>
        <rFont val="Arial"/>
        <family val="2"/>
        <charset val="204"/>
      </rPr>
      <t xml:space="preserve">). Значения показателей может быть также занесено Вами и </t>
    </r>
    <r>
      <rPr>
        <b/>
        <sz val="11"/>
        <color indexed="8"/>
        <rFont val="Arial"/>
        <family val="2"/>
        <charset val="204"/>
      </rPr>
      <t>вручную.</t>
    </r>
    <r>
      <rPr>
        <sz val="11"/>
        <color indexed="8"/>
        <rFont val="Arial"/>
        <family val="2"/>
        <charset val="204"/>
      </rPr>
      <t xml:space="preserve"> Количество данных ограничено 100 строками. Строки с сто второй по сто шестую содержат информацию о среднем значении показателя или математическом ожидании (МО, на графиках представлена ромбиками синего цвета) , стандартном или среднеквадратичном отклонении (СКО), коэффициенте вариации (К</t>
    </r>
    <r>
      <rPr>
        <vertAlign val="subscript"/>
        <sz val="11"/>
        <color indexed="8"/>
        <rFont val="Arial"/>
        <family val="2"/>
        <charset val="204"/>
      </rPr>
      <t>вар</t>
    </r>
    <r>
      <rPr>
        <sz val="11"/>
        <color indexed="8"/>
        <rFont val="Arial"/>
        <family val="2"/>
        <charset val="204"/>
      </rPr>
      <t xml:space="preserve">), минимальном и максимальном (MIN и MAX) значениях показателя, следующие строчки содержат информацию о 95% доверительных интервалах средних значений (на графиках представлены красными прямоугольниками). 
     Для корректного расчета МО и СКО ячейки с отсутствующими показателями при их ручном занесении должны содержать значение "ЛОЖЬ" (в таблице не высвечивается).
     Для приема данных из текстового файла необходимо переключить клавиатуру на английский язык и нажать </t>
    </r>
    <r>
      <rPr>
        <b/>
        <sz val="14"/>
        <color indexed="10"/>
        <rFont val="Arial"/>
        <family val="2"/>
        <charset val="204"/>
      </rPr>
      <t>Ctrl+b</t>
    </r>
    <r>
      <rPr>
        <sz val="11"/>
        <color indexed="8"/>
        <rFont val="Arial"/>
        <family val="2"/>
        <charset val="204"/>
      </rPr>
      <t xml:space="preserve"> (файл типа TPS, созданный в программе </t>
    </r>
    <r>
      <rPr>
        <b/>
        <sz val="11"/>
        <color indexed="8"/>
        <rFont val="Arial"/>
        <family val="2"/>
        <charset val="204"/>
      </rPr>
      <t xml:space="preserve">WingsDig) </t>
    </r>
    <r>
      <rPr>
        <sz val="11"/>
        <color indexed="8"/>
        <rFont val="Arial"/>
        <family val="2"/>
        <charset val="204"/>
      </rPr>
      <t>или</t>
    </r>
    <r>
      <rPr>
        <b/>
        <sz val="11"/>
        <color indexed="8"/>
        <rFont val="Arial"/>
        <family val="2"/>
        <charset val="204"/>
      </rPr>
      <t xml:space="preserve"> </t>
    </r>
    <r>
      <rPr>
        <b/>
        <sz val="14"/>
        <color indexed="10"/>
        <rFont val="Arial"/>
        <family val="2"/>
        <charset val="204"/>
      </rPr>
      <t>Ctrl+t</t>
    </r>
    <r>
      <rPr>
        <b/>
        <sz val="11"/>
        <color indexed="8"/>
        <rFont val="Arial"/>
        <family val="2"/>
        <charset val="204"/>
      </rPr>
      <t xml:space="preserve"> (</t>
    </r>
    <r>
      <rPr>
        <sz val="11"/>
        <color indexed="8"/>
        <rFont val="Arial"/>
        <family val="2"/>
        <charset val="204"/>
      </rPr>
      <t xml:space="preserve">файл типа TPS, созданный в программе </t>
    </r>
    <r>
      <rPr>
        <b/>
        <sz val="11"/>
        <color indexed="8"/>
        <rFont val="Arial"/>
        <family val="2"/>
        <charset val="204"/>
      </rPr>
      <t>TpsDig2</t>
    </r>
    <r>
      <rPr>
        <sz val="11"/>
        <color indexed="8"/>
        <rFont val="Arial"/>
        <family val="2"/>
        <charset val="204"/>
      </rPr>
      <t xml:space="preserve">).
</t>
    </r>
    <r>
      <rPr>
        <b/>
        <sz val="14"/>
        <color indexed="12"/>
        <rFont val="Arial"/>
        <family val="2"/>
        <charset val="204"/>
      </rPr>
      <t>Версия 2.5</t>
    </r>
    <r>
      <rPr>
        <b/>
        <sz val="12"/>
        <color indexed="16"/>
        <rFont val="Arial"/>
        <family val="2"/>
        <charset val="204"/>
      </rPr>
      <t xml:space="preserve">   © 2016 Правообладатель Карташев Анатолий</t>
    </r>
    <r>
      <rPr>
        <b/>
        <sz val="11"/>
        <color indexed="16"/>
        <rFont val="Arial"/>
        <family val="2"/>
        <charset val="204"/>
      </rPr>
      <t xml:space="preserve">
                                            E-mail: kart95@mail.ru
              </t>
    </r>
    <r>
      <rPr>
        <b/>
        <sz val="11"/>
        <color indexed="10"/>
        <rFont val="Arial"/>
        <family val="2"/>
        <charset val="204"/>
      </rPr>
      <t xml:space="preserve"> Свидетельство о Госрегистрации в ФИПС № </t>
    </r>
    <r>
      <rPr>
        <b/>
        <sz val="12"/>
        <color indexed="10"/>
        <rFont val="Arial"/>
        <family val="2"/>
        <charset val="204"/>
      </rPr>
      <t>2016663003</t>
    </r>
  </si>
  <si>
    <t>COPY</t>
  </si>
  <si>
    <t>Mellifera</t>
  </si>
  <si>
    <t>TpsDig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</si>
</sst>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00"/>
  </numFmts>
  <fonts count="47" x14ac:knownFonts="1">
    <font>
      <sz val="10"/>
      <name val="Arial"/>
    </font>
    <font>
      <b/>
      <sz val="10"/>
      <name val="Arial"/>
      <family val="2"/>
      <charset val="204"/>
    </font>
    <font>
      <sz val="10"/>
      <name val="Arial"/>
      <family val="2"/>
      <charset val="204"/>
    </font>
    <font>
      <sz val="12"/>
      <color indexed="8"/>
      <name val="Arial"/>
      <family val="2"/>
      <charset val="204"/>
    </font>
    <font>
      <b/>
      <sz val="12"/>
      <color indexed="12"/>
      <name val="Arial"/>
      <family val="2"/>
      <charset val="204"/>
    </font>
    <font>
      <b/>
      <sz val="14"/>
      <color indexed="12"/>
      <name val="Arial"/>
      <family val="2"/>
      <charset val="204"/>
    </font>
    <font>
      <sz val="8"/>
      <name val="Arial"/>
      <family val="2"/>
      <charset val="204"/>
    </font>
    <font>
      <sz val="12"/>
      <name val="Arial"/>
      <family val="2"/>
      <charset val="204"/>
    </font>
    <font>
      <i/>
      <sz val="10"/>
      <name val="Arial"/>
      <family val="2"/>
      <charset val="204"/>
    </font>
    <font>
      <b/>
      <sz val="12"/>
      <name val="Arial"/>
      <family val="2"/>
      <charset val="204"/>
    </font>
    <font>
      <b/>
      <sz val="14"/>
      <color indexed="10"/>
      <name val="Arial"/>
      <family val="2"/>
      <charset val="204"/>
    </font>
    <font>
      <b/>
      <sz val="11"/>
      <color indexed="12"/>
      <name val="Arial"/>
      <family val="2"/>
      <charset val="204"/>
    </font>
    <font>
      <sz val="11"/>
      <color indexed="8"/>
      <name val="Arial"/>
      <family val="2"/>
      <charset val="204"/>
    </font>
    <font>
      <b/>
      <sz val="11"/>
      <color indexed="8"/>
      <name val="Arial"/>
      <family val="2"/>
      <charset val="204"/>
    </font>
    <font>
      <b/>
      <sz val="11"/>
      <color indexed="16"/>
      <name val="Arial"/>
      <family val="2"/>
      <charset val="204"/>
    </font>
    <font>
      <b/>
      <sz val="10"/>
      <name val="Tahoma"/>
      <family val="2"/>
      <charset val="204"/>
    </font>
    <font>
      <sz val="9"/>
      <name val="Arial"/>
      <family val="2"/>
      <charset val="204"/>
    </font>
    <font>
      <b/>
      <sz val="9"/>
      <name val="Arial"/>
      <family val="2"/>
      <charset val="204"/>
    </font>
    <font>
      <sz val="10"/>
      <color indexed="8"/>
      <name val="Arial"/>
      <family val="2"/>
      <charset val="204"/>
    </font>
    <font>
      <vertAlign val="superscript"/>
      <sz val="10"/>
      <name val="Arial"/>
      <family val="2"/>
      <charset val="204"/>
    </font>
    <font>
      <sz val="5"/>
      <name val="Arial"/>
      <family val="2"/>
      <charset val="204"/>
    </font>
    <font>
      <i/>
      <sz val="10"/>
      <color indexed="9"/>
      <name val="Arial"/>
      <family val="2"/>
      <charset val="204"/>
    </font>
    <font>
      <sz val="11"/>
      <name val="Arial"/>
      <family val="2"/>
      <charset val="204"/>
    </font>
    <font>
      <b/>
      <sz val="10"/>
      <color indexed="8"/>
      <name val="Arial"/>
      <family val="2"/>
      <charset val="204"/>
    </font>
    <font>
      <b/>
      <sz val="11"/>
      <name val="Arial"/>
      <family val="2"/>
      <charset val="204"/>
    </font>
    <font>
      <b/>
      <vertAlign val="subscript"/>
      <sz val="10"/>
      <name val="Arial"/>
      <family val="2"/>
      <charset val="204"/>
    </font>
    <font>
      <sz val="9"/>
      <name val="Times New Roman"/>
      <family val="1"/>
      <charset val="204"/>
    </font>
    <font>
      <vertAlign val="subscript"/>
      <sz val="11"/>
      <color indexed="8"/>
      <name val="Arial"/>
      <family val="2"/>
      <charset val="204"/>
    </font>
    <font>
      <b/>
      <i/>
      <sz val="12"/>
      <name val="Arial"/>
      <family val="2"/>
      <charset val="204"/>
    </font>
    <font>
      <sz val="8"/>
      <color indexed="8"/>
      <name val="Arial"/>
      <family val="2"/>
      <charset val="204"/>
    </font>
    <font>
      <i/>
      <sz val="11"/>
      <name val="Arial"/>
      <family val="2"/>
      <charset val="204"/>
    </font>
    <font>
      <b/>
      <sz val="12"/>
      <color indexed="10"/>
      <name val="Arial"/>
      <family val="2"/>
      <charset val="204"/>
    </font>
    <font>
      <b/>
      <sz val="11"/>
      <color indexed="10"/>
      <name val="Arial"/>
      <family val="2"/>
      <charset val="204"/>
    </font>
    <font>
      <b/>
      <sz val="12"/>
      <color indexed="16"/>
      <name val="Arial"/>
      <family val="2"/>
      <charset val="204"/>
    </font>
    <font>
      <sz val="10"/>
      <color theme="0" tint="-4.9989318521683403E-2"/>
      <name val="Arial"/>
      <family val="2"/>
      <charset val="204"/>
    </font>
    <font>
      <sz val="10"/>
      <color theme="0"/>
      <name val="Arial"/>
      <family val="2"/>
      <charset val="204"/>
    </font>
    <font>
      <sz val="11"/>
      <color theme="0"/>
      <name val="Arial"/>
      <family val="2"/>
      <charset val="204"/>
    </font>
    <font>
      <i/>
      <sz val="10"/>
      <color theme="0"/>
      <name val="Arial"/>
      <family val="2"/>
      <charset val="204"/>
    </font>
    <font>
      <b/>
      <sz val="12"/>
      <color theme="0"/>
      <name val="Arial"/>
      <family val="2"/>
      <charset val="204"/>
    </font>
    <font>
      <b/>
      <sz val="10"/>
      <color theme="0"/>
      <name val="Arial"/>
      <family val="2"/>
      <charset val="204"/>
    </font>
    <font>
      <sz val="10"/>
      <color rgb="FFFF0000"/>
      <name val="Arial"/>
      <family val="2"/>
      <charset val="204"/>
    </font>
    <font>
      <sz val="11"/>
      <color rgb="FFFF0000"/>
      <name val="Arial"/>
      <family val="2"/>
      <charset val="204"/>
    </font>
    <font>
      <i/>
      <sz val="10"/>
      <color rgb="FFFF0000"/>
      <name val="Arial"/>
      <family val="2"/>
      <charset val="204"/>
    </font>
    <font>
      <b/>
      <sz val="10"/>
      <color rgb="FFFF0000"/>
      <name val="Arial"/>
      <family val="2"/>
      <charset val="204"/>
    </font>
    <font>
      <sz val="10"/>
      <color theme="1"/>
      <name val="Arial"/>
      <family val="2"/>
      <charset val="204"/>
    </font>
    <font>
      <b/>
      <sz val="11"/>
      <color theme="0"/>
      <name val="Arial"/>
      <family val="2"/>
      <charset val="204"/>
    </font>
    <font>
      <sz val="16"/>
      <color theme="0"/>
      <name val="Arial"/>
      <family val="2"/>
      <charset val="204"/>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2"/>
        <bgColor indexed="64"/>
      </patternFill>
    </fill>
    <fill>
      <patternFill patternType="solid">
        <fgColor indexed="51"/>
        <bgColor indexed="64"/>
      </patternFill>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CCFFFF"/>
        <bgColor indexed="64"/>
      </patternFill>
    </fill>
    <fill>
      <patternFill patternType="solid">
        <fgColor rgb="FFCCFFCC"/>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264">
    <xf numFmtId="0" fontId="0" fillId="0" borderId="0" xfId="0"/>
    <xf numFmtId="2" fontId="0" fillId="2" borderId="1" xfId="0" applyNumberFormat="1" applyFill="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8" fillId="0" borderId="0" xfId="0" applyFont="1"/>
    <xf numFmtId="164" fontId="0" fillId="2" borderId="1" xfId="0" applyNumberFormat="1" applyFill="1" applyBorder="1" applyAlignment="1" applyProtection="1">
      <alignment horizontal="center" vertical="center"/>
      <protection locked="0"/>
    </xf>
    <xf numFmtId="0" fontId="0" fillId="0" borderId="3" xfId="0" applyBorder="1" applyAlignment="1">
      <alignment horizontal="center" vertical="center"/>
    </xf>
    <xf numFmtId="164" fontId="0" fillId="2" borderId="2" xfId="0" applyNumberFormat="1" applyFill="1" applyBorder="1" applyAlignment="1" applyProtection="1">
      <alignment horizontal="center" vertical="center" wrapText="1"/>
      <protection locked="0"/>
    </xf>
    <xf numFmtId="0" fontId="0" fillId="0" borderId="4" xfId="0" applyBorder="1" applyAlignment="1">
      <alignment horizontal="center" vertical="center"/>
    </xf>
    <xf numFmtId="2" fontId="0" fillId="2" borderId="5" xfId="0" applyNumberFormat="1" applyFill="1" applyBorder="1" applyAlignment="1" applyProtection="1">
      <alignment horizontal="center" vertical="center" wrapText="1"/>
      <protection locked="0"/>
    </xf>
    <xf numFmtId="164" fontId="0" fillId="2" borderId="5" xfId="0" applyNumberFormat="1" applyFill="1" applyBorder="1" applyAlignment="1" applyProtection="1">
      <alignment horizontal="center" vertical="center" wrapText="1"/>
      <protection locked="0"/>
    </xf>
    <xf numFmtId="164" fontId="0" fillId="2" borderId="6" xfId="0" applyNumberFormat="1" applyFill="1" applyBorder="1" applyAlignment="1" applyProtection="1">
      <alignment horizontal="center" vertical="center" wrapText="1"/>
      <protection locked="0"/>
    </xf>
    <xf numFmtId="0" fontId="5" fillId="0" borderId="0" xfId="0" applyFont="1" applyFill="1" applyBorder="1" applyAlignment="1">
      <alignment horizontal="left" vertical="top" wrapText="1"/>
    </xf>
    <xf numFmtId="0" fontId="0" fillId="0" borderId="0" xfId="0" applyFill="1"/>
    <xf numFmtId="0" fontId="15" fillId="0" borderId="0" xfId="0" applyFont="1" applyFill="1" applyAlignment="1">
      <alignment horizontal="center" vertical="center" wrapText="1"/>
    </xf>
    <xf numFmtId="2" fontId="0" fillId="0" borderId="0" xfId="0" applyNumberFormat="1" applyFill="1" applyAlignment="1" applyProtection="1">
      <alignment horizontal="center"/>
    </xf>
    <xf numFmtId="166" fontId="0" fillId="0" borderId="0" xfId="0" applyNumberFormat="1" applyFill="1" applyProtection="1"/>
    <xf numFmtId="0" fontId="0" fillId="0" borderId="0" xfId="0" applyFill="1" applyProtection="1"/>
    <xf numFmtId="0" fontId="16" fillId="0" borderId="0" xfId="0" applyFont="1"/>
    <xf numFmtId="0" fontId="16" fillId="0" borderId="1" xfId="0" applyFont="1" applyBorder="1" applyProtection="1">
      <protection locked="0"/>
    </xf>
    <xf numFmtId="0" fontId="0" fillId="0" borderId="0" xfId="0" applyBorder="1"/>
    <xf numFmtId="0" fontId="0" fillId="0" borderId="0" xfId="0" applyBorder="1" applyAlignment="1">
      <alignment horizontal="center" vertical="center" wrapText="1"/>
    </xf>
    <xf numFmtId="0" fontId="1" fillId="0" borderId="0" xfId="0" applyFont="1" applyBorder="1" applyAlignment="1">
      <alignment horizontal="left" vertical="center"/>
    </xf>
    <xf numFmtId="0" fontId="1" fillId="0" borderId="0" xfId="0" applyFont="1" applyBorder="1" applyAlignment="1">
      <alignment vertical="top" wrapText="1"/>
    </xf>
    <xf numFmtId="0" fontId="1" fillId="0" borderId="0" xfId="0" applyFont="1" applyFill="1" applyBorder="1" applyAlignment="1">
      <alignment horizontal="left" vertical="center"/>
    </xf>
    <xf numFmtId="0" fontId="8" fillId="0" borderId="0" xfId="0" applyFont="1" applyBorder="1"/>
    <xf numFmtId="0" fontId="22" fillId="0" borderId="0" xfId="0" applyFont="1" applyBorder="1"/>
    <xf numFmtId="164" fontId="1" fillId="3" borderId="1" xfId="0" applyNumberFormat="1"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0" fillId="0" borderId="0" xfId="0" applyFill="1" applyBorder="1"/>
    <xf numFmtId="0" fontId="16" fillId="0" borderId="1" xfId="0" applyFont="1" applyBorder="1" applyAlignment="1" applyProtection="1">
      <alignment horizontal="center" vertical="center"/>
      <protection hidden="1"/>
    </xf>
    <xf numFmtId="0" fontId="0" fillId="0" borderId="0" xfId="0" applyProtection="1">
      <protection hidden="1"/>
    </xf>
    <xf numFmtId="0" fontId="0" fillId="0" borderId="1" xfId="0"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 fontId="0" fillId="0" borderId="1" xfId="0" applyNumberFormat="1" applyBorder="1" applyAlignment="1" applyProtection="1">
      <alignment horizontal="center" vertical="center" wrapText="1"/>
      <protection hidden="1"/>
    </xf>
    <xf numFmtId="49" fontId="0" fillId="0" borderId="1" xfId="0" applyNumberFormat="1" applyBorder="1" applyAlignment="1" applyProtection="1">
      <alignment horizontal="center" vertical="center" wrapText="1"/>
      <protection hidden="1"/>
    </xf>
    <xf numFmtId="0" fontId="4" fillId="0" borderId="0" xfId="0" applyFont="1" applyFill="1" applyBorder="1" applyAlignment="1" applyProtection="1">
      <alignment vertical="top" wrapText="1"/>
      <protection hidden="1"/>
    </xf>
    <xf numFmtId="0" fontId="1" fillId="3" borderId="3" xfId="0" applyFont="1" applyFill="1" applyBorder="1" applyProtection="1">
      <protection hidden="1"/>
    </xf>
    <xf numFmtId="165" fontId="1" fillId="3" borderId="1" xfId="0" applyNumberFormat="1" applyFont="1" applyFill="1" applyBorder="1" applyAlignment="1" applyProtection="1">
      <alignment horizontal="center" vertical="center"/>
      <protection hidden="1"/>
    </xf>
    <xf numFmtId="0" fontId="1" fillId="4" borderId="3" xfId="0" applyFont="1" applyFill="1" applyBorder="1" applyProtection="1">
      <protection hidden="1"/>
    </xf>
    <xf numFmtId="0" fontId="1" fillId="4" borderId="1" xfId="0" applyFont="1" applyFill="1" applyBorder="1" applyAlignment="1" applyProtection="1">
      <alignment horizontal="center" vertical="center"/>
      <protection hidden="1"/>
    </xf>
    <xf numFmtId="165" fontId="1" fillId="4" borderId="1" xfId="0" applyNumberFormat="1" applyFont="1" applyFill="1" applyBorder="1" applyAlignment="1" applyProtection="1">
      <alignment horizontal="center" vertical="center"/>
      <protection hidden="1"/>
    </xf>
    <xf numFmtId="0" fontId="1" fillId="5" borderId="3" xfId="0" applyFont="1" applyFill="1" applyBorder="1" applyProtection="1">
      <protection hidden="1"/>
    </xf>
    <xf numFmtId="0" fontId="1" fillId="5" borderId="1" xfId="0" applyFont="1" applyFill="1" applyBorder="1" applyAlignment="1" applyProtection="1">
      <alignment horizontal="center" vertical="center"/>
      <protection hidden="1"/>
    </xf>
    <xf numFmtId="165" fontId="1" fillId="5" borderId="1" xfId="0" applyNumberFormat="1" applyFont="1" applyFill="1" applyBorder="1" applyAlignment="1" applyProtection="1">
      <alignment horizontal="center" vertical="center"/>
      <protection hidden="1"/>
    </xf>
    <xf numFmtId="0" fontId="1" fillId="2" borderId="4" xfId="0" applyFont="1" applyFill="1" applyBorder="1" applyProtection="1">
      <protection hidden="1"/>
    </xf>
    <xf numFmtId="0" fontId="1" fillId="2" borderId="5" xfId="0" applyFont="1" applyFill="1" applyBorder="1" applyAlignment="1" applyProtection="1">
      <alignment horizontal="center" vertical="center"/>
      <protection hidden="1"/>
    </xf>
    <xf numFmtId="165" fontId="1" fillId="2" borderId="5"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vertical="top" wrapText="1"/>
      <protection hidden="1"/>
    </xf>
    <xf numFmtId="0" fontId="20" fillId="0" borderId="0" xfId="0" applyFont="1" applyProtection="1">
      <protection hidden="1"/>
    </xf>
    <xf numFmtId="0" fontId="16" fillId="0" borderId="1" xfId="0" applyFont="1" applyBorder="1" applyProtection="1">
      <protection hidden="1"/>
    </xf>
    <xf numFmtId="49" fontId="17" fillId="0" borderId="7" xfId="0" applyNumberFormat="1" applyFont="1" applyFill="1" applyBorder="1" applyAlignment="1" applyProtection="1">
      <alignment horizontal="center" vertical="center" wrapText="1"/>
      <protection hidden="1"/>
    </xf>
    <xf numFmtId="49" fontId="17" fillId="0" borderId="7" xfId="0" applyNumberFormat="1" applyFont="1" applyFill="1" applyBorder="1" applyAlignment="1" applyProtection="1">
      <alignment horizontal="center" vertical="center"/>
      <protection hidden="1"/>
    </xf>
    <xf numFmtId="49" fontId="16" fillId="0" borderId="0"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3" borderId="1" xfId="0" applyNumberFormat="1" applyFont="1" applyFill="1" applyBorder="1" applyAlignment="1" applyProtection="1">
      <alignment horizontal="center" vertical="center"/>
      <protection hidden="1"/>
    </xf>
    <xf numFmtId="164" fontId="16" fillId="3" borderId="1" xfId="0" applyNumberFormat="1" applyFont="1" applyFill="1" applyBorder="1" applyAlignment="1" applyProtection="1">
      <alignment horizontal="center" vertical="center"/>
      <protection hidden="1"/>
    </xf>
    <xf numFmtId="164" fontId="16" fillId="0" borderId="0" xfId="0" applyNumberFormat="1" applyFont="1" applyFill="1" applyBorder="1" applyAlignment="1" applyProtection="1">
      <alignment horizontal="center" vertical="center"/>
      <protection hidden="1"/>
    </xf>
    <xf numFmtId="0" fontId="16" fillId="0" borderId="0" xfId="0" applyFont="1" applyFill="1" applyBorder="1" applyProtection="1">
      <protection hidden="1"/>
    </xf>
    <xf numFmtId="2" fontId="16" fillId="0" borderId="1" xfId="0" applyNumberFormat="1" applyFont="1" applyFill="1" applyBorder="1" applyAlignment="1" applyProtection="1">
      <alignment horizontal="center" vertical="center"/>
      <protection hidden="1"/>
    </xf>
    <xf numFmtId="49" fontId="24" fillId="3" borderId="1" xfId="0" applyNumberFormat="1"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49" fontId="9" fillId="3" borderId="1" xfId="0" applyNumberFormat="1" applyFont="1" applyFill="1" applyBorder="1" applyAlignment="1" applyProtection="1">
      <alignment horizontal="center" vertical="center"/>
      <protection hidden="1"/>
    </xf>
    <xf numFmtId="0" fontId="22" fillId="3" borderId="1" xfId="0" applyFont="1" applyFill="1" applyBorder="1" applyAlignment="1" applyProtection="1">
      <alignment horizontal="left" vertical="center" wrapText="1"/>
      <protection hidden="1"/>
    </xf>
    <xf numFmtId="0" fontId="22" fillId="3" borderId="1" xfId="0" applyFont="1" applyFill="1" applyBorder="1" applyAlignment="1" applyProtection="1">
      <alignment horizontal="center" vertical="center" wrapText="1"/>
      <protection hidden="1"/>
    </xf>
    <xf numFmtId="165" fontId="22"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left" vertical="center" wrapText="1"/>
      <protection hidden="1"/>
    </xf>
    <xf numFmtId="165" fontId="8"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protection hidden="1"/>
    </xf>
    <xf numFmtId="0" fontId="12" fillId="3"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18" fillId="3" borderId="1" xfId="0" applyFont="1" applyFill="1" applyBorder="1" applyAlignment="1" applyProtection="1">
      <alignment horizontal="center" vertical="center" wrapText="1"/>
      <protection hidden="1"/>
    </xf>
    <xf numFmtId="0" fontId="23" fillId="3" borderId="1" xfId="0" applyFont="1" applyFill="1" applyBorder="1" applyAlignment="1" applyProtection="1">
      <alignment horizontal="center" vertical="center" wrapText="1"/>
      <protection hidden="1"/>
    </xf>
    <xf numFmtId="0" fontId="21" fillId="6" borderId="0" xfId="0" applyFont="1" applyFill="1" applyBorder="1"/>
    <xf numFmtId="0" fontId="2" fillId="0" borderId="0" xfId="0" applyFont="1"/>
    <xf numFmtId="0" fontId="34" fillId="0" borderId="0" xfId="0" applyFont="1"/>
    <xf numFmtId="2" fontId="0" fillId="0" borderId="0" xfId="0" applyNumberFormat="1"/>
    <xf numFmtId="4" fontId="26" fillId="0" borderId="0" xfId="0" applyNumberFormat="1" applyFont="1" applyFill="1" applyBorder="1" applyAlignment="1" applyProtection="1">
      <alignment horizontal="center" vertical="center"/>
      <protection hidden="1"/>
    </xf>
    <xf numFmtId="4" fontId="26" fillId="0" borderId="0" xfId="0" applyNumberFormat="1" applyFont="1" applyProtection="1">
      <protection hidden="1"/>
    </xf>
    <xf numFmtId="164" fontId="0" fillId="3" borderId="1" xfId="0" applyNumberFormat="1" applyFill="1" applyBorder="1" applyAlignment="1" applyProtection="1">
      <alignment horizontal="center" vertical="center"/>
      <protection hidden="1"/>
    </xf>
    <xf numFmtId="0" fontId="35" fillId="6" borderId="0" xfId="0" applyFont="1" applyFill="1" applyBorder="1" applyProtection="1">
      <protection hidden="1"/>
    </xf>
    <xf numFmtId="0" fontId="35" fillId="6" borderId="0" xfId="0" applyFont="1" applyFill="1" applyBorder="1" applyAlignment="1" applyProtection="1">
      <alignment horizontal="center"/>
      <protection hidden="1"/>
    </xf>
    <xf numFmtId="0" fontId="35" fillId="6" borderId="0" xfId="0" applyFont="1" applyFill="1" applyProtection="1">
      <protection hidden="1"/>
    </xf>
    <xf numFmtId="0" fontId="35" fillId="0" borderId="0" xfId="0" applyFont="1" applyProtection="1">
      <protection hidden="1"/>
    </xf>
    <xf numFmtId="0" fontId="35" fillId="0" borderId="0" xfId="0" applyFont="1" applyBorder="1" applyProtection="1">
      <protection hidden="1"/>
    </xf>
    <xf numFmtId="0" fontId="36" fillId="0" borderId="0" xfId="0" applyFont="1" applyBorder="1" applyProtection="1">
      <protection hidden="1"/>
    </xf>
    <xf numFmtId="0" fontId="37" fillId="0" borderId="0" xfId="0" applyFont="1" applyBorder="1" applyProtection="1">
      <protection hidden="1"/>
    </xf>
    <xf numFmtId="0" fontId="38" fillId="0" borderId="0" xfId="0" applyFont="1" applyAlignment="1" applyProtection="1">
      <alignment horizontal="center" vertical="center" wrapText="1"/>
      <protection hidden="1"/>
    </xf>
    <xf numFmtId="0" fontId="39" fillId="0" borderId="0" xfId="0" applyFont="1" applyBorder="1" applyAlignment="1" applyProtection="1">
      <alignment vertical="top" wrapText="1"/>
      <protection hidden="1"/>
    </xf>
    <xf numFmtId="0" fontId="2" fillId="7" borderId="0" xfId="0" applyFont="1" applyFill="1"/>
    <xf numFmtId="0" fontId="0" fillId="7" borderId="0" xfId="0" applyFill="1"/>
    <xf numFmtId="0" fontId="35" fillId="0" borderId="0" xfId="0" applyFont="1"/>
    <xf numFmtId="0" fontId="16" fillId="0" borderId="1" xfId="0" applyFont="1" applyFill="1" applyBorder="1"/>
    <xf numFmtId="0" fontId="40" fillId="0" borderId="0" xfId="0" applyFont="1"/>
    <xf numFmtId="0" fontId="35" fillId="0" borderId="0" xfId="0" applyFont="1" applyBorder="1"/>
    <xf numFmtId="0" fontId="36" fillId="0" borderId="0" xfId="0" applyFont="1" applyBorder="1"/>
    <xf numFmtId="0" fontId="37" fillId="0" borderId="0" xfId="0" applyFont="1" applyBorder="1"/>
    <xf numFmtId="0" fontId="40" fillId="0" borderId="0" xfId="0" applyFont="1" applyBorder="1" applyAlignment="1" applyProtection="1">
      <alignment horizontal="center" vertical="center" wrapText="1"/>
      <protection hidden="1"/>
    </xf>
    <xf numFmtId="0" fontId="40" fillId="0" borderId="0" xfId="0" applyFont="1" applyBorder="1" applyProtection="1">
      <protection hidden="1"/>
    </xf>
    <xf numFmtId="0" fontId="41" fillId="0" borderId="0" xfId="0" applyFont="1" applyBorder="1" applyAlignment="1" applyProtection="1">
      <alignment horizontal="center" vertical="center" wrapText="1"/>
      <protection hidden="1"/>
    </xf>
    <xf numFmtId="0" fontId="41" fillId="0" borderId="0" xfId="0" applyFont="1" applyBorder="1" applyProtection="1">
      <protection hidden="1"/>
    </xf>
    <xf numFmtId="0" fontId="42" fillId="0" borderId="0" xfId="0" applyFont="1" applyBorder="1" applyAlignment="1" applyProtection="1">
      <alignment horizontal="center" vertical="center" wrapText="1"/>
      <protection hidden="1"/>
    </xf>
    <xf numFmtId="0" fontId="42" fillId="0" borderId="0" xfId="0" applyFont="1" applyBorder="1" applyProtection="1">
      <protection hidden="1"/>
    </xf>
    <xf numFmtId="0" fontId="42" fillId="0" borderId="0" xfId="0" applyFont="1" applyFill="1" applyBorder="1" applyAlignment="1" applyProtection="1">
      <alignment horizontal="center" vertical="center" wrapText="1"/>
      <protection hidden="1"/>
    </xf>
    <xf numFmtId="0" fontId="43" fillId="0" borderId="0" xfId="0" applyFont="1" applyBorder="1" applyAlignment="1" applyProtection="1">
      <alignment vertical="top" wrapText="1"/>
      <protection hidden="1"/>
    </xf>
    <xf numFmtId="0" fontId="40" fillId="0" borderId="0" xfId="0" applyFont="1" applyProtection="1">
      <protection hidden="1"/>
    </xf>
    <xf numFmtId="0" fontId="2" fillId="0" borderId="0" xfId="0" applyFont="1" applyFill="1"/>
    <xf numFmtId="1" fontId="22" fillId="3" borderId="1" xfId="0" applyNumberFormat="1" applyFont="1" applyFill="1" applyBorder="1" applyAlignment="1" applyProtection="1">
      <alignment horizontal="center" vertical="center" wrapText="1"/>
      <protection hidden="1"/>
    </xf>
    <xf numFmtId="1" fontId="8" fillId="3" borderId="1" xfId="0" applyNumberFormat="1" applyFont="1" applyFill="1" applyBorder="1" applyAlignment="1" applyProtection="1">
      <alignment horizontal="center" vertical="center" wrapText="1"/>
      <protection hidden="1"/>
    </xf>
    <xf numFmtId="1" fontId="2" fillId="3" borderId="1" xfId="0" applyNumberFormat="1" applyFont="1" applyFill="1" applyBorder="1" applyAlignment="1" applyProtection="1">
      <alignment horizontal="center" vertical="center" wrapText="1"/>
      <protection hidden="1"/>
    </xf>
    <xf numFmtId="1" fontId="1" fillId="3" borderId="1" xfId="0" applyNumberFormat="1" applyFont="1" applyFill="1" applyBorder="1" applyAlignment="1" applyProtection="1">
      <alignment horizontal="center" vertical="center" wrapText="1"/>
      <protection hidden="1"/>
    </xf>
    <xf numFmtId="0" fontId="36" fillId="6" borderId="0" xfId="0" applyFont="1" applyFill="1" applyBorder="1" applyProtection="1">
      <protection hidden="1"/>
    </xf>
    <xf numFmtId="0" fontId="37" fillId="6" borderId="0" xfId="0" applyFont="1" applyFill="1" applyBorder="1" applyProtection="1">
      <protection hidden="1"/>
    </xf>
    <xf numFmtId="0" fontId="0" fillId="7" borderId="0" xfId="0" applyFill="1" applyAlignment="1">
      <alignment vertical="center" wrapText="1"/>
    </xf>
    <xf numFmtId="0" fontId="2" fillId="7" borderId="0" xfId="0" applyFont="1" applyFill="1" applyAlignment="1">
      <alignment vertical="center"/>
    </xf>
    <xf numFmtId="0" fontId="44" fillId="6" borderId="0" xfId="0" applyFont="1" applyFill="1"/>
    <xf numFmtId="165" fontId="1" fillId="3" borderId="2" xfId="0" applyNumberFormat="1" applyFont="1" applyFill="1" applyBorder="1" applyAlignment="1" applyProtection="1">
      <alignment horizontal="center" vertical="center"/>
      <protection hidden="1"/>
    </xf>
    <xf numFmtId="165" fontId="1" fillId="4" borderId="2" xfId="0" applyNumberFormat="1" applyFont="1" applyFill="1" applyBorder="1" applyAlignment="1" applyProtection="1">
      <alignment horizontal="center" vertical="center"/>
      <protection hidden="1"/>
    </xf>
    <xf numFmtId="165" fontId="1" fillId="5" borderId="2" xfId="0" applyNumberFormat="1" applyFont="1" applyFill="1" applyBorder="1" applyAlignment="1" applyProtection="1">
      <alignment horizontal="center" vertical="center"/>
      <protection hidden="1"/>
    </xf>
    <xf numFmtId="165" fontId="1" fillId="2" borderId="6"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164" fontId="35" fillId="0" borderId="0" xfId="0" applyNumberFormat="1" applyFont="1" applyAlignment="1">
      <alignment horizontal="center" vertical="center"/>
    </xf>
    <xf numFmtId="2" fontId="35" fillId="0" borderId="0" xfId="0" applyNumberFormat="1" applyFont="1" applyAlignment="1">
      <alignment horizontal="center" vertical="center"/>
    </xf>
    <xf numFmtId="1" fontId="35" fillId="0" borderId="0" xfId="0" applyNumberFormat="1" applyFont="1" applyAlignment="1">
      <alignment horizontal="center" vertical="center"/>
    </xf>
    <xf numFmtId="0" fontId="35" fillId="0" borderId="0" xfId="0" applyFont="1" applyAlignment="1">
      <alignment horizontal="center" vertical="center" wrapText="1"/>
    </xf>
    <xf numFmtId="0" fontId="22" fillId="0" borderId="0" xfId="0" applyFont="1" applyBorder="1" applyAlignment="1"/>
    <xf numFmtId="0" fontId="35" fillId="0" borderId="0" xfId="0" applyFont="1" applyFill="1" applyBorder="1" applyProtection="1">
      <protection hidden="1"/>
    </xf>
    <xf numFmtId="0" fontId="36" fillId="0" borderId="0" xfId="0" applyFont="1" applyFill="1" applyBorder="1" applyProtection="1">
      <protection hidden="1"/>
    </xf>
    <xf numFmtId="0" fontId="37" fillId="0" borderId="0" xfId="0" applyFont="1" applyFill="1" applyBorder="1" applyProtection="1">
      <protection hidden="1"/>
    </xf>
    <xf numFmtId="2" fontId="37" fillId="6" borderId="0" xfId="0" applyNumberFormat="1" applyFont="1" applyFill="1" applyBorder="1" applyAlignment="1" applyProtection="1">
      <alignment horizontal="center" vertical="center"/>
      <protection hidden="1"/>
    </xf>
    <xf numFmtId="0" fontId="37" fillId="0" borderId="0" xfId="0" applyFont="1" applyFill="1" applyBorder="1" applyAlignment="1" applyProtection="1">
      <alignment horizontal="center" vertical="center"/>
      <protection hidden="1"/>
    </xf>
    <xf numFmtId="0" fontId="36" fillId="6" borderId="0" xfId="0" applyFont="1" applyFill="1" applyBorder="1" applyAlignment="1" applyProtection="1">
      <alignment horizontal="center" vertical="center"/>
      <protection hidden="1"/>
    </xf>
    <xf numFmtId="0" fontId="45" fillId="6" borderId="0" xfId="0" applyFont="1" applyFill="1" applyBorder="1" applyProtection="1">
      <protection hidden="1"/>
    </xf>
    <xf numFmtId="0" fontId="39" fillId="6" borderId="0" xfId="0" applyFont="1" applyFill="1" applyBorder="1" applyAlignment="1" applyProtection="1">
      <alignment vertical="center"/>
      <protection hidden="1"/>
    </xf>
    <xf numFmtId="0" fontId="39" fillId="6" borderId="0" xfId="0" applyFont="1" applyFill="1" applyBorder="1" applyProtection="1">
      <protection hidden="1"/>
    </xf>
    <xf numFmtId="0" fontId="37" fillId="6" borderId="0" xfId="0" applyFont="1" applyFill="1" applyBorder="1" applyAlignment="1" applyProtection="1">
      <alignment horizontal="center" vertical="center" wrapText="1"/>
      <protection hidden="1"/>
    </xf>
    <xf numFmtId="1" fontId="35" fillId="6" borderId="0" xfId="0" applyNumberFormat="1"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35" fillId="0" borderId="0" xfId="0" applyFont="1" applyFill="1" applyBorder="1" applyAlignment="1" applyProtection="1">
      <alignment horizontal="center" vertical="center"/>
      <protection hidden="1"/>
    </xf>
    <xf numFmtId="2" fontId="35" fillId="6" borderId="0" xfId="0" applyNumberFormat="1" applyFont="1" applyFill="1" applyBorder="1" applyAlignment="1" applyProtection="1">
      <alignment horizontal="center" vertical="center"/>
      <protection hidden="1"/>
    </xf>
    <xf numFmtId="0" fontId="39" fillId="6" borderId="0" xfId="0" applyFont="1" applyFill="1" applyBorder="1" applyAlignment="1" applyProtection="1">
      <alignment horizontal="center" vertical="center" wrapText="1"/>
      <protection hidden="1"/>
    </xf>
    <xf numFmtId="0" fontId="35" fillId="0" borderId="0" xfId="0" applyFont="1" applyFill="1" applyProtection="1">
      <protection hidden="1"/>
    </xf>
    <xf numFmtId="164" fontId="0" fillId="3" borderId="8" xfId="0" applyNumberFormat="1" applyFill="1" applyBorder="1" applyAlignment="1" applyProtection="1">
      <alignment horizontal="center" vertical="center"/>
      <protection hidden="1"/>
    </xf>
    <xf numFmtId="49" fontId="1" fillId="0" borderId="9" xfId="0" applyNumberFormat="1" applyFont="1" applyFill="1" applyBorder="1" applyAlignment="1" applyProtection="1">
      <alignment horizontal="center" vertical="center" wrapText="1"/>
    </xf>
    <xf numFmtId="49" fontId="1" fillId="0" borderId="10" xfId="0" applyNumberFormat="1" applyFont="1" applyFill="1" applyBorder="1" applyAlignment="1" applyProtection="1">
      <alignment horizontal="center" vertical="center"/>
    </xf>
    <xf numFmtId="49" fontId="1" fillId="0" borderId="11" xfId="0" applyNumberFormat="1" applyFont="1" applyFill="1" applyBorder="1" applyAlignment="1" applyProtection="1">
      <alignment horizontal="center" vertical="center"/>
    </xf>
    <xf numFmtId="49" fontId="2" fillId="2" borderId="3" xfId="0" applyNumberFormat="1" applyFont="1"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protection hidden="1"/>
    </xf>
    <xf numFmtId="49" fontId="1" fillId="3" borderId="3" xfId="0" applyNumberFormat="1" applyFont="1" applyFill="1" applyBorder="1" applyAlignment="1" applyProtection="1">
      <alignment horizontal="center" vertical="center"/>
      <protection hidden="1"/>
    </xf>
    <xf numFmtId="165" fontId="1" fillId="3" borderId="6" xfId="0" applyNumberFormat="1"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protection hidden="1"/>
    </xf>
    <xf numFmtId="164" fontId="1" fillId="3" borderId="2" xfId="0" applyNumberFormat="1" applyFont="1" applyFill="1" applyBorder="1" applyAlignment="1" applyProtection="1">
      <alignment horizontal="center" vertical="center"/>
      <protection hidden="1"/>
    </xf>
    <xf numFmtId="0" fontId="1" fillId="3" borderId="4" xfId="0" applyFont="1" applyFill="1" applyBorder="1" applyAlignment="1" applyProtection="1">
      <alignment horizontal="center" vertical="center"/>
      <protection hidden="1"/>
    </xf>
    <xf numFmtId="164" fontId="1" fillId="3" borderId="5" xfId="0" applyNumberFormat="1" applyFont="1" applyFill="1" applyBorder="1" applyAlignment="1" applyProtection="1">
      <alignment horizontal="center" vertical="center"/>
      <protection hidden="1"/>
    </xf>
    <xf numFmtId="164" fontId="1" fillId="3" borderId="6" xfId="0" applyNumberFormat="1" applyFont="1" applyFill="1" applyBorder="1" applyAlignment="1" applyProtection="1">
      <alignment horizontal="center" vertical="center"/>
      <protection hidden="1"/>
    </xf>
    <xf numFmtId="49" fontId="2" fillId="2" borderId="12" xfId="0" applyNumberFormat="1" applyFont="1" applyFill="1" applyBorder="1" applyAlignment="1" applyProtection="1">
      <alignment horizontal="center" vertical="center" wrapText="1"/>
      <protection locked="0"/>
    </xf>
    <xf numFmtId="164" fontId="0" fillId="2" borderId="13" xfId="0" applyNumberFormat="1" applyFill="1" applyBorder="1" applyAlignment="1" applyProtection="1">
      <alignment horizontal="center" vertical="center"/>
      <protection locked="0"/>
    </xf>
    <xf numFmtId="49" fontId="1" fillId="3" borderId="9" xfId="0" applyNumberFormat="1" applyFont="1" applyFill="1" applyBorder="1" applyAlignment="1" applyProtection="1">
      <alignment horizontal="center" vertical="center"/>
      <protection hidden="1"/>
    </xf>
    <xf numFmtId="164" fontId="1" fillId="3" borderId="10"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0" fontId="37" fillId="6" borderId="0" xfId="0" applyFont="1" applyFill="1" applyBorder="1" applyProtection="1">
      <protection hidden="1"/>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0" fontId="37" fillId="6" borderId="0" xfId="0" applyFont="1" applyFill="1" applyBorder="1" applyAlignment="1" applyProtection="1">
      <alignment horizontal="center" vertical="center"/>
      <protection hidden="1"/>
    </xf>
    <xf numFmtId="164" fontId="30" fillId="3" borderId="1" xfId="0" applyNumberFormat="1" applyFont="1" applyFill="1" applyBorder="1" applyAlignment="1" applyProtection="1">
      <alignment horizontal="center" vertical="center" wrapText="1"/>
      <protection hidden="1"/>
    </xf>
    <xf numFmtId="0" fontId="30"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protection hidden="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2" borderId="1" xfId="0" applyFont="1" applyFill="1" applyBorder="1" applyAlignment="1" applyProtection="1">
      <alignment horizontal="left" vertical="center" wrapText="1"/>
      <protection locked="0"/>
    </xf>
    <xf numFmtId="0" fontId="1" fillId="2" borderId="5" xfId="0" applyFont="1" applyFill="1" applyBorder="1" applyAlignment="1" applyProtection="1">
      <alignment horizontal="left" vertical="center" wrapText="1"/>
      <protection locked="0"/>
    </xf>
    <xf numFmtId="165" fontId="0" fillId="3" borderId="1" xfId="0" applyNumberFormat="1" applyFill="1" applyBorder="1" applyAlignment="1" applyProtection="1">
      <alignment horizontal="center" vertical="center"/>
      <protection hidden="1"/>
    </xf>
    <xf numFmtId="2" fontId="2" fillId="11" borderId="1" xfId="0" applyNumberFormat="1" applyFont="1" applyFill="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2" fillId="11" borderId="2" xfId="0" applyNumberFormat="1" applyFont="1" applyFill="1" applyBorder="1" applyAlignment="1" applyProtection="1">
      <alignment horizontal="center" vertical="center" wrapText="1"/>
      <protection locked="0"/>
    </xf>
    <xf numFmtId="0" fontId="1" fillId="11" borderId="1" xfId="0" applyFont="1" applyFill="1" applyBorder="1" applyAlignment="1" applyProtection="1">
      <alignment horizontal="left" vertical="center" wrapText="1"/>
      <protection locked="0"/>
    </xf>
    <xf numFmtId="0" fontId="16" fillId="0" borderId="1"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wrapText="1"/>
      <protection hidden="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17" fillId="0" borderId="1" xfId="0" applyFont="1" applyFill="1" applyBorder="1" applyAlignment="1" applyProtection="1">
      <alignment horizontal="center" vertical="center" textRotation="90"/>
      <protection hidden="1"/>
    </xf>
    <xf numFmtId="0" fontId="16" fillId="8" borderId="1" xfId="0" applyFont="1" applyFill="1" applyBorder="1" applyAlignment="1" applyProtection="1">
      <alignment horizontal="center" vertical="center"/>
      <protection hidden="1"/>
    </xf>
    <xf numFmtId="0" fontId="0" fillId="8" borderId="1" xfId="0" applyFill="1" applyBorder="1" applyAlignment="1"/>
    <xf numFmtId="0" fontId="16" fillId="9" borderId="1" xfId="0" applyFont="1" applyFill="1" applyBorder="1" applyAlignment="1" applyProtection="1">
      <alignment horizontal="center" vertical="center"/>
      <protection hidden="1"/>
    </xf>
    <xf numFmtId="0" fontId="0" fillId="9" borderId="1" xfId="0" applyFill="1" applyBorder="1" applyAlignment="1"/>
    <xf numFmtId="0" fontId="0" fillId="0" borderId="1" xfId="0" applyBorder="1" applyAlignment="1"/>
    <xf numFmtId="0" fontId="16" fillId="0" borderId="1" xfId="0" applyFont="1" applyBorder="1" applyAlignment="1" applyProtection="1">
      <alignment horizontal="center" vertical="center"/>
      <protection hidden="1"/>
    </xf>
    <xf numFmtId="0" fontId="0" fillId="0" borderId="0" xfId="0" applyFill="1" applyBorder="1" applyAlignment="1">
      <alignment horizontal="center" vertical="center" wrapText="1"/>
    </xf>
    <xf numFmtId="49" fontId="1" fillId="0" borderId="20" xfId="0" applyNumberFormat="1" applyFont="1" applyFill="1" applyBorder="1" applyAlignment="1" applyProtection="1">
      <alignment horizontal="center" vertical="center"/>
      <protection hidden="1"/>
    </xf>
    <xf numFmtId="49" fontId="1" fillId="0" borderId="7" xfId="0" applyNumberFormat="1" applyFont="1" applyFill="1" applyBorder="1" applyAlignment="1" applyProtection="1">
      <alignment horizontal="center" vertical="center"/>
      <protection hidden="1"/>
    </xf>
    <xf numFmtId="49" fontId="1" fillId="0" borderId="21" xfId="0" applyNumberFormat="1" applyFont="1" applyFill="1" applyBorder="1" applyAlignment="1" applyProtection="1">
      <alignment horizontal="center" vertical="center"/>
      <protection hidden="1"/>
    </xf>
    <xf numFmtId="0" fontId="11" fillId="3" borderId="22" xfId="0" applyFont="1" applyFill="1" applyBorder="1" applyAlignment="1" applyProtection="1">
      <alignment horizontal="left" vertical="top" wrapText="1"/>
      <protection hidden="1"/>
    </xf>
    <xf numFmtId="0" fontId="11" fillId="3" borderId="23" xfId="0" applyFont="1" applyFill="1" applyBorder="1" applyAlignment="1" applyProtection="1">
      <alignment horizontal="left" vertical="top" wrapText="1"/>
      <protection hidden="1"/>
    </xf>
    <xf numFmtId="0" fontId="11" fillId="3" borderId="24" xfId="0" applyFont="1" applyFill="1" applyBorder="1" applyAlignment="1" applyProtection="1">
      <alignment horizontal="left" vertical="top" wrapText="1"/>
      <protection hidden="1"/>
    </xf>
    <xf numFmtId="0" fontId="11" fillId="3" borderId="25" xfId="0" applyFont="1" applyFill="1" applyBorder="1" applyAlignment="1" applyProtection="1">
      <alignment horizontal="left" vertical="top" wrapText="1"/>
      <protection hidden="1"/>
    </xf>
    <xf numFmtId="0" fontId="11" fillId="3" borderId="0" xfId="0" applyFont="1" applyFill="1" applyBorder="1" applyAlignment="1" applyProtection="1">
      <alignment horizontal="left" vertical="top" wrapText="1"/>
      <protection hidden="1"/>
    </xf>
    <xf numFmtId="0" fontId="11" fillId="3" borderId="26" xfId="0" applyFont="1" applyFill="1" applyBorder="1" applyAlignment="1" applyProtection="1">
      <alignment horizontal="left" vertical="top" wrapText="1"/>
      <protection hidden="1"/>
    </xf>
    <xf numFmtId="0" fontId="0" fillId="0" borderId="25" xfId="0" applyBorder="1" applyAlignment="1"/>
    <xf numFmtId="0" fontId="0" fillId="0" borderId="0"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0" xfId="0"/>
    <xf numFmtId="0" fontId="12" fillId="3" borderId="1" xfId="0" applyFont="1" applyFill="1" applyBorder="1" applyAlignment="1" applyProtection="1">
      <alignment vertical="center" wrapText="1"/>
      <protection hidden="1"/>
    </xf>
    <xf numFmtId="0" fontId="0" fillId="0" borderId="1" xfId="0" applyBorder="1" applyAlignment="1">
      <alignment vertical="center" wrapText="1"/>
    </xf>
    <xf numFmtId="0" fontId="0" fillId="0" borderId="1" xfId="0" applyBorder="1" applyAlignment="1">
      <alignment vertical="center"/>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 xfId="0" applyBorder="1" applyAlignment="1" applyProtection="1">
      <alignment horizontal="center" vertical="center" wrapText="1"/>
      <protection hidden="1"/>
    </xf>
    <xf numFmtId="0" fontId="1" fillId="10" borderId="10" xfId="0" applyFont="1" applyFill="1" applyBorder="1" applyAlignment="1" applyProtection="1">
      <alignment horizontal="center" vertical="center" wrapText="1"/>
      <protection hidden="1"/>
    </xf>
    <xf numFmtId="0" fontId="1" fillId="10" borderId="11" xfId="0" applyFont="1" applyFill="1" applyBorder="1" applyAlignment="1" applyProtection="1">
      <alignment horizontal="center" vertical="center" wrapText="1"/>
      <protection hidden="1"/>
    </xf>
    <xf numFmtId="0" fontId="2" fillId="0" borderId="8" xfId="0" applyFont="1" applyBorder="1" applyAlignment="1" applyProtection="1">
      <alignment horizontal="center" vertical="center" wrapText="1"/>
      <protection hidden="1"/>
    </xf>
    <xf numFmtId="0" fontId="0" fillId="0" borderId="8" xfId="0"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49" fontId="1" fillId="10" borderId="9" xfId="0" applyNumberFormat="1" applyFont="1" applyFill="1" applyBorder="1" applyAlignment="1" applyProtection="1">
      <alignment horizontal="center" vertical="center" wrapText="1"/>
      <protection hidden="1"/>
    </xf>
    <xf numFmtId="49" fontId="1" fillId="10" borderId="3" xfId="0" applyNumberFormat="1" applyFont="1" applyFill="1" applyBorder="1" applyAlignment="1" applyProtection="1">
      <alignment horizontal="center" vertical="center" wrapText="1"/>
      <protection hidden="1"/>
    </xf>
    <xf numFmtId="0" fontId="0" fillId="10" borderId="3" xfId="0" applyFill="1" applyBorder="1" applyAlignment="1"/>
    <xf numFmtId="49" fontId="1" fillId="10" borderId="10" xfId="0" applyNumberFormat="1" applyFont="1" applyFill="1" applyBorder="1" applyAlignment="1" applyProtection="1">
      <alignment horizontal="center" vertical="center" wrapText="1"/>
      <protection hidden="1"/>
    </xf>
    <xf numFmtId="49" fontId="1" fillId="10" borderId="1" xfId="0" applyNumberFormat="1" applyFont="1" applyFill="1" applyBorder="1" applyAlignment="1" applyProtection="1">
      <alignment horizontal="center" vertical="center" wrapText="1"/>
      <protection hidden="1"/>
    </xf>
    <xf numFmtId="0" fontId="0" fillId="10" borderId="1" xfId="0" applyFill="1" applyBorder="1" applyAlignment="1"/>
    <xf numFmtId="0" fontId="1" fillId="10" borderId="1" xfId="0" applyFont="1" applyFill="1" applyBorder="1" applyAlignment="1" applyProtection="1">
      <alignment horizontal="center" vertical="center" wrapText="1"/>
      <protection hidden="1"/>
    </xf>
    <xf numFmtId="0" fontId="1" fillId="10" borderId="2" xfId="0" applyFont="1" applyFill="1" applyBorder="1" applyAlignment="1" applyProtection="1">
      <alignment horizontal="center" vertical="center" wrapText="1"/>
      <protection hidden="1"/>
    </xf>
    <xf numFmtId="0" fontId="0" fillId="10" borderId="2" xfId="0" applyFill="1" applyBorder="1" applyAlignment="1"/>
    <xf numFmtId="0" fontId="4" fillId="3" borderId="22" xfId="0" applyFont="1" applyFill="1" applyBorder="1" applyAlignment="1" applyProtection="1">
      <alignment horizontal="left" vertical="justify" wrapText="1"/>
      <protection hidden="1"/>
    </xf>
    <xf numFmtId="0" fontId="4" fillId="3" borderId="23" xfId="0" applyFont="1" applyFill="1" applyBorder="1" applyAlignment="1" applyProtection="1">
      <alignment horizontal="left" vertical="justify" wrapText="1"/>
      <protection hidden="1"/>
    </xf>
    <xf numFmtId="0" fontId="4" fillId="3" borderId="24" xfId="0" applyFont="1" applyFill="1" applyBorder="1" applyAlignment="1" applyProtection="1">
      <alignment horizontal="left" vertical="justify" wrapText="1"/>
      <protection hidden="1"/>
    </xf>
    <xf numFmtId="0" fontId="4" fillId="3" borderId="25" xfId="0" applyFont="1" applyFill="1" applyBorder="1" applyAlignment="1" applyProtection="1">
      <alignment horizontal="left" vertical="justify" wrapText="1"/>
      <protection hidden="1"/>
    </xf>
    <xf numFmtId="0" fontId="4" fillId="3" borderId="0" xfId="0" applyFont="1" applyFill="1" applyBorder="1" applyAlignment="1" applyProtection="1">
      <alignment horizontal="left" vertical="justify" wrapText="1"/>
      <protection hidden="1"/>
    </xf>
    <xf numFmtId="0" fontId="4" fillId="3" borderId="26" xfId="0" applyFont="1" applyFill="1" applyBorder="1" applyAlignment="1" applyProtection="1">
      <alignment horizontal="left" vertical="justify" wrapText="1"/>
      <protection hidden="1"/>
    </xf>
    <xf numFmtId="0" fontId="4" fillId="3" borderId="27" xfId="0" applyFont="1" applyFill="1" applyBorder="1" applyAlignment="1" applyProtection="1">
      <alignment horizontal="left" vertical="justify" wrapText="1"/>
      <protection hidden="1"/>
    </xf>
    <xf numFmtId="0" fontId="4" fillId="3" borderId="28" xfId="0" applyFont="1" applyFill="1" applyBorder="1" applyAlignment="1" applyProtection="1">
      <alignment horizontal="left" vertical="justify" wrapText="1"/>
      <protection hidden="1"/>
    </xf>
    <xf numFmtId="0" fontId="4" fillId="3" borderId="29" xfId="0" applyFont="1" applyFill="1" applyBorder="1" applyAlignment="1" applyProtection="1">
      <alignment horizontal="left" vertical="justify" wrapText="1"/>
      <protection hidden="1"/>
    </xf>
    <xf numFmtId="0" fontId="35" fillId="0" borderId="0" xfId="0" applyFont="1" applyAlignment="1">
      <alignment horizontal="center" vertical="center"/>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49" fontId="9" fillId="3" borderId="13" xfId="0" applyNumberFormat="1" applyFont="1" applyFill="1" applyBorder="1" applyAlignment="1" applyProtection="1">
      <alignment horizontal="center" vertical="center"/>
      <protection hidden="1"/>
    </xf>
    <xf numFmtId="0" fontId="0" fillId="0" borderId="30" xfId="0" applyBorder="1" applyAlignment="1">
      <alignment horizontal="center" vertical="center"/>
    </xf>
    <xf numFmtId="0" fontId="0" fillId="0" borderId="7" xfId="0" applyBorder="1" applyAlignment="1">
      <alignment horizontal="center" vertical="center"/>
    </xf>
    <xf numFmtId="0" fontId="37" fillId="6" borderId="0" xfId="0" applyFont="1" applyFill="1" applyBorder="1" applyAlignment="1" applyProtection="1">
      <alignment horizontal="center" vertical="center"/>
      <protection hidden="1"/>
    </xf>
    <xf numFmtId="0" fontId="35" fillId="0" borderId="0" xfId="0" applyFont="1" applyAlignment="1" applyProtection="1">
      <alignment horizontal="center" vertical="center"/>
      <protection hidden="1"/>
    </xf>
    <xf numFmtId="0" fontId="19" fillId="3" borderId="1" xfId="0" applyFont="1" applyFill="1" applyBorder="1" applyAlignment="1" applyProtection="1">
      <alignment horizontal="left" vertical="center" wrapText="1"/>
      <protection hidden="1"/>
    </xf>
    <xf numFmtId="0" fontId="37" fillId="6" borderId="0" xfId="0" applyFont="1" applyFill="1" applyBorder="1" applyProtection="1">
      <protection hidden="1"/>
    </xf>
    <xf numFmtId="0" fontId="4" fillId="3" borderId="1" xfId="0" applyFont="1" applyFill="1" applyBorder="1" applyAlignment="1" applyProtection="1">
      <alignment horizontal="center" vertical="center" wrapText="1"/>
      <protection hidden="1"/>
    </xf>
    <xf numFmtId="49" fontId="9" fillId="3" borderId="30" xfId="0" applyNumberFormat="1" applyFont="1" applyFill="1" applyBorder="1" applyAlignment="1" applyProtection="1">
      <alignment horizontal="center" vertical="center"/>
      <protection hidden="1"/>
    </xf>
    <xf numFmtId="49" fontId="9" fillId="3" borderId="7" xfId="0" applyNumberFormat="1" applyFont="1" applyFill="1" applyBorder="1" applyAlignment="1" applyProtection="1">
      <alignment horizontal="center" vertical="center"/>
      <protection hidden="1"/>
    </xf>
    <xf numFmtId="165" fontId="9" fillId="3" borderId="1" xfId="0" applyNumberFormat="1" applyFont="1" applyFill="1" applyBorder="1" applyAlignment="1" applyProtection="1">
      <alignment horizontal="left" vertical="center"/>
      <protection hidden="1"/>
    </xf>
    <xf numFmtId="0" fontId="0" fillId="0" borderId="1" xfId="0" applyBorder="1" applyAlignment="1">
      <alignment horizontal="left" vertical="center"/>
    </xf>
    <xf numFmtId="0" fontId="2" fillId="7" borderId="0" xfId="0" applyFont="1" applyFill="1" applyAlignment="1">
      <alignment vertical="center" wrapText="1"/>
    </xf>
    <xf numFmtId="0" fontId="0" fillId="7" borderId="0" xfId="0" applyFill="1" applyAlignment="1">
      <alignment vertical="center" wrapText="1"/>
    </xf>
    <xf numFmtId="0" fontId="2" fillId="0" borderId="0" xfId="0" applyFont="1" applyFill="1" applyAlignment="1">
      <alignment wrapText="1"/>
    </xf>
    <xf numFmtId="0" fontId="0" fillId="0" borderId="0" xfId="0" applyFill="1" applyAlignment="1">
      <alignment wrapText="1"/>
    </xf>
    <xf numFmtId="0" fontId="2" fillId="0" borderId="0" xfId="0" applyFont="1" applyAlignment="1">
      <alignment vertical="center" wrapText="1"/>
    </xf>
    <xf numFmtId="0" fontId="0" fillId="0" borderId="0" xfId="0" applyAlignment="1">
      <alignment vertical="center" wrapText="1"/>
    </xf>
  </cellXfs>
  <cellStyles count="1">
    <cellStyle name="Обычный" xfId="0" builtinId="0"/>
  </cellStyles>
  <dxfs count="27">
    <dxf>
      <fill>
        <patternFill>
          <bgColor indexed="42"/>
        </patternFill>
      </fill>
    </dxf>
    <dxf>
      <fill>
        <patternFill patternType="lightDown">
          <fgColor indexed="45"/>
          <bgColor indexed="43"/>
        </patternFill>
      </fill>
    </dxf>
    <dxf>
      <fill>
        <patternFill>
          <bgColor indexed="51"/>
        </patternFill>
      </fill>
    </dxf>
    <dxf>
      <fill>
        <patternFill patternType="lightDown">
          <fgColor indexed="45"/>
          <bgColor indexed="43"/>
        </patternFill>
      </fill>
    </dxf>
    <dxf>
      <fill>
        <patternFill>
          <bgColor indexed="52"/>
        </patternFill>
      </fill>
    </dxf>
    <dxf>
      <fill>
        <patternFill patternType="lightDown">
          <fgColor indexed="45"/>
          <bgColor indexed="43"/>
        </patternFill>
      </fill>
    </dxf>
    <dxf>
      <fill>
        <patternFill>
          <bgColor indexed="41"/>
        </patternFill>
      </fill>
    </dxf>
    <dxf>
      <fill>
        <patternFill patternType="lightDown">
          <fgColor indexed="45"/>
          <bgColor indexed="43"/>
        </patternFill>
      </fill>
    </dxf>
    <dxf>
      <fill>
        <patternFill>
          <bgColor indexed="41"/>
        </patternFill>
      </fill>
    </dxf>
    <dxf>
      <fill>
        <patternFill>
          <bgColor indexed="52"/>
        </patternFill>
      </fill>
    </dxf>
    <dxf>
      <fill>
        <patternFill>
          <bgColor indexed="51"/>
        </patternFill>
      </fill>
    </dxf>
    <dxf>
      <fill>
        <patternFill>
          <bgColor indexed="42"/>
        </patternFill>
      </fill>
    </dxf>
    <dxf>
      <font>
        <condense val="0"/>
        <extend val="0"/>
        <color indexed="9"/>
      </font>
    </dxf>
    <dxf>
      <font>
        <condense val="0"/>
        <extend val="0"/>
        <color indexed="42"/>
      </font>
    </dxf>
    <dxf>
      <font>
        <condense val="0"/>
        <extend val="0"/>
        <color indexed="43"/>
      </font>
    </dxf>
    <dxf>
      <font>
        <condense val="0"/>
        <extend val="0"/>
        <color indexed="47"/>
      </font>
    </dxf>
    <dxf>
      <font>
        <condense val="0"/>
        <extend val="0"/>
        <color indexed="41"/>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3. Распределение </a:t>
            </a:r>
            <a:r>
              <a:rPr lang="en-US"/>
              <a:t>HI / CI</a:t>
            </a:r>
          </a:p>
        </c:rich>
      </c:tx>
      <c:layout>
        <c:manualLayout>
          <c:xMode val="edge"/>
          <c:yMode val="edge"/>
          <c:x val="0.35470160247063132"/>
          <c:y val="1.6203729929442273E-2"/>
        </c:manualLayout>
      </c:layout>
      <c:overlay val="0"/>
      <c:spPr>
        <a:noFill/>
        <a:ln w="25400">
          <a:noFill/>
        </a:ln>
      </c:spPr>
    </c:title>
    <c:autoTitleDeleted val="0"/>
    <c:plotArea>
      <c:layout>
        <c:manualLayout>
          <c:layoutTarget val="inner"/>
          <c:xMode val="edge"/>
          <c:yMode val="edge"/>
          <c:x val="8.8319275261532465E-2"/>
          <c:y val="9.7222399635107565E-2"/>
          <c:w val="0.88319257254633421"/>
          <c:h val="0.81713216949854672"/>
        </c:manualLayout>
      </c:layout>
      <c:scatterChart>
        <c:scatterStyle val="lineMarker"/>
        <c:varyColors val="0"/>
        <c:ser>
          <c:idx val="0"/>
          <c:order val="0"/>
          <c:tx>
            <c:strRef>
              <c:f>Индексы!$D$1</c:f>
              <c:strCache>
                <c:ptCount val="1"/>
                <c:pt idx="0">
                  <c:v>Hi</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1.2626070135193432</c:v>
                </c:pt>
                <c:pt idx="1">
                  <c:v>1.4110486900645089</c:v>
                </c:pt>
                <c:pt idx="2">
                  <c:v>1.3970928948001387</c:v>
                </c:pt>
                <c:pt idx="3">
                  <c:v>1.5152208616653291</c:v>
                </c:pt>
                <c:pt idx="4">
                  <c:v>1.8090879062408518</c:v>
                </c:pt>
                <c:pt idx="5">
                  <c:v>1.4082701577665713</c:v>
                </c:pt>
                <c:pt idx="6">
                  <c:v>1.434152613613296</c:v>
                </c:pt>
                <c:pt idx="7">
                  <c:v>1.457615984110074</c:v>
                </c:pt>
                <c:pt idx="8">
                  <c:v>1.3886551296096701</c:v>
                </c:pt>
                <c:pt idx="9">
                  <c:v>1.5121630858581008</c:v>
                </c:pt>
                <c:pt idx="10">
                  <c:v>1.4282115105923434</c:v>
                </c:pt>
                <c:pt idx="11">
                  <c:v>1.4867666423160466</c:v>
                </c:pt>
                <c:pt idx="12">
                  <c:v>1.4243093464185492</c:v>
                </c:pt>
                <c:pt idx="13">
                  <c:v>1.6170842575913029</c:v>
                </c:pt>
                <c:pt idx="14">
                  <c:v>1.5963541551080593</c:v>
                </c:pt>
                <c:pt idx="15">
                  <c:v>1.4964911953946169</c:v>
                </c:pt>
                <c:pt idx="16">
                  <c:v>1.5213083464463475</c:v>
                </c:pt>
                <c:pt idx="17">
                  <c:v>1.3651878800254351</c:v>
                </c:pt>
                <c:pt idx="18">
                  <c:v>1.4202825916269763</c:v>
                </c:pt>
                <c:pt idx="19">
                  <c:v>1.3981872933510322</c:v>
                </c:pt>
                <c:pt idx="20">
                  <c:v>1.3397511506515163</c:v>
                </c:pt>
                <c:pt idx="21">
                  <c:v>1.3991932779235556</c:v>
                </c:pt>
                <c:pt idx="22">
                  <c:v>1.4383727883864668</c:v>
                </c:pt>
                <c:pt idx="23">
                  <c:v>1.4613188834353577</c:v>
                </c:pt>
                <c:pt idx="24">
                  <c:v>1.5122216033726252</c:v>
                </c:pt>
                <c:pt idx="25">
                  <c:v>1.1265890995242667</c:v>
                </c:pt>
                <c:pt idx="26">
                  <c:v>1.3395313136677256</c:v>
                </c:pt>
                <c:pt idx="27">
                  <c:v>1.3507880663566374</c:v>
                </c:pt>
                <c:pt idx="28">
                  <c:v>1.4159465909295745</c:v>
                </c:pt>
                <c:pt idx="29">
                  <c:v>1.2625144360472995</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1.4332108255471205</c:v>
                </c:pt>
              </c:numCache>
            </c:numRef>
          </c:xVal>
          <c:yVal>
            <c:numRef>
              <c:f>Индексы!$D$2:$D$102</c:f>
              <c:numCache>
                <c:formatCode>0.000</c:formatCode>
                <c:ptCount val="101"/>
                <c:pt idx="0">
                  <c:v>0.85631379086348691</c:v>
                </c:pt>
                <c:pt idx="1">
                  <c:v>0.8237946668540852</c:v>
                </c:pt>
                <c:pt idx="2">
                  <c:v>0.80539681058715062</c:v>
                </c:pt>
                <c:pt idx="3">
                  <c:v>0.90698769183806183</c:v>
                </c:pt>
                <c:pt idx="4">
                  <c:v>0.88299957033836651</c:v>
                </c:pt>
                <c:pt idx="5">
                  <c:v>0.83826787677931225</c:v>
                </c:pt>
                <c:pt idx="6">
                  <c:v>0.91770721305868463</c:v>
                </c:pt>
                <c:pt idx="7">
                  <c:v>0.86740475860341337</c:v>
                </c:pt>
                <c:pt idx="8">
                  <c:v>0.86447517308111865</c:v>
                </c:pt>
                <c:pt idx="9">
                  <c:v>0.83966281247175023</c:v>
                </c:pt>
                <c:pt idx="10">
                  <c:v>0.90780211236216835</c:v>
                </c:pt>
                <c:pt idx="11">
                  <c:v>0.81670378727059412</c:v>
                </c:pt>
                <c:pt idx="12">
                  <c:v>0.78387965815955563</c:v>
                </c:pt>
                <c:pt idx="13">
                  <c:v>0.90855299859134342</c:v>
                </c:pt>
                <c:pt idx="14">
                  <c:v>0.81052363916299175</c:v>
                </c:pt>
                <c:pt idx="15">
                  <c:v>0.88641422566491623</c:v>
                </c:pt>
                <c:pt idx="16">
                  <c:v>0.82588245907720026</c:v>
                </c:pt>
                <c:pt idx="17">
                  <c:v>0.82430399518174657</c:v>
                </c:pt>
                <c:pt idx="18">
                  <c:v>0.8474675738635713</c:v>
                </c:pt>
                <c:pt idx="19">
                  <c:v>0.81845011257771183</c:v>
                </c:pt>
                <c:pt idx="20">
                  <c:v>0.7996103867123312</c:v>
                </c:pt>
                <c:pt idx="21">
                  <c:v>0.85563026884200899</c:v>
                </c:pt>
                <c:pt idx="22">
                  <c:v>0.78968048435824822</c:v>
                </c:pt>
                <c:pt idx="23">
                  <c:v>0.86744270740412355</c:v>
                </c:pt>
                <c:pt idx="24">
                  <c:v>0.80448031442260104</c:v>
                </c:pt>
                <c:pt idx="25">
                  <c:v>0.7249616498777266</c:v>
                </c:pt>
                <c:pt idx="26">
                  <c:v>0.84969551009130739</c:v>
                </c:pt>
                <c:pt idx="27">
                  <c:v>0.8883911740868019</c:v>
                </c:pt>
                <c:pt idx="28">
                  <c:v>0.77202449817394792</c:v>
                </c:pt>
                <c:pt idx="29">
                  <c:v>0.89251317755290194</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0.8425807032636411</c:v>
                </c:pt>
              </c:numCache>
            </c:numRef>
          </c:yVal>
          <c:smooth val="0"/>
        </c:ser>
        <c:ser>
          <c:idx val="1"/>
          <c:order val="1"/>
          <c:tx>
            <c:v>Mellifera1</c:v>
          </c:tx>
          <c:spPr>
            <a:ln w="38100">
              <a:solidFill>
                <a:srgbClr val="0000FF"/>
              </a:solidFill>
              <a:prstDash val="lgDash"/>
            </a:ln>
          </c:spPr>
          <c:marker>
            <c:symbol val="none"/>
          </c:marker>
          <c:xVal>
            <c:numRef>
              <c:f>'ИД и расчеты'!$C$219:$C$220</c:f>
              <c:numCache>
                <c:formatCode>0.00</c:formatCode>
                <c:ptCount val="2"/>
                <c:pt idx="0">
                  <c:v>0.76</c:v>
                </c:pt>
                <c:pt idx="1">
                  <c:v>0.76</c:v>
                </c:pt>
              </c:numCache>
            </c:numRef>
          </c:xVal>
          <c:yVal>
            <c:numRef>
              <c:f>'ИД и расчеты'!$D$219:$D$220</c:f>
              <c:numCache>
                <c:formatCode>0.00</c:formatCode>
                <c:ptCount val="2"/>
                <c:pt idx="0">
                  <c:v>0.61599999999999999</c:v>
                </c:pt>
                <c:pt idx="1">
                  <c:v>0.92300000000000004</c:v>
                </c:pt>
              </c:numCache>
            </c:numRef>
          </c:yVal>
          <c:smooth val="0"/>
        </c:ser>
        <c:ser>
          <c:idx val="2"/>
          <c:order val="2"/>
          <c:tx>
            <c:v>Mellifera2</c:v>
          </c:tx>
          <c:spPr>
            <a:ln w="38100">
              <a:solidFill>
                <a:srgbClr val="0000FF"/>
              </a:solidFill>
              <a:prstDash val="lgDash"/>
            </a:ln>
          </c:spPr>
          <c:marker>
            <c:symbol val="none"/>
          </c:marker>
          <c:xVal>
            <c:numRef>
              <c:f>'ИД и расчеты'!$E$219:$E$220</c:f>
              <c:numCache>
                <c:formatCode>0.00</c:formatCode>
                <c:ptCount val="2"/>
                <c:pt idx="0">
                  <c:v>0.76</c:v>
                </c:pt>
                <c:pt idx="1">
                  <c:v>2.16</c:v>
                </c:pt>
              </c:numCache>
            </c:numRef>
          </c:xVal>
          <c:yVal>
            <c:numRef>
              <c:f>'ИД и расчеты'!$F$219:$F$220</c:f>
              <c:numCache>
                <c:formatCode>0.00</c:formatCode>
                <c:ptCount val="2"/>
                <c:pt idx="0">
                  <c:v>0.92300000000000004</c:v>
                </c:pt>
                <c:pt idx="1">
                  <c:v>0.92300000000000004</c:v>
                </c:pt>
              </c:numCache>
            </c:numRef>
          </c:yVal>
          <c:smooth val="0"/>
        </c:ser>
        <c:ser>
          <c:idx val="3"/>
          <c:order val="3"/>
          <c:tx>
            <c:v>Mellifera3</c:v>
          </c:tx>
          <c:spPr>
            <a:ln w="38100">
              <a:solidFill>
                <a:srgbClr val="0000FF"/>
              </a:solidFill>
              <a:prstDash val="lgDash"/>
            </a:ln>
          </c:spPr>
          <c:marker>
            <c:symbol val="none"/>
          </c:marker>
          <c:xVal>
            <c:numRef>
              <c:f>'ИД и расчеты'!$G$219:$G$220</c:f>
              <c:numCache>
                <c:formatCode>0.00</c:formatCode>
                <c:ptCount val="2"/>
                <c:pt idx="0">
                  <c:v>2.16</c:v>
                </c:pt>
                <c:pt idx="1">
                  <c:v>2.16</c:v>
                </c:pt>
              </c:numCache>
            </c:numRef>
          </c:xVal>
          <c:yVal>
            <c:numRef>
              <c:f>'ИД и расчеты'!$H$219:$H$220</c:f>
              <c:numCache>
                <c:formatCode>0.00</c:formatCode>
                <c:ptCount val="2"/>
                <c:pt idx="0">
                  <c:v>0.61599999999999999</c:v>
                </c:pt>
                <c:pt idx="1">
                  <c:v>0.92300000000000004</c:v>
                </c:pt>
              </c:numCache>
            </c:numRef>
          </c:yVal>
          <c:smooth val="0"/>
        </c:ser>
        <c:ser>
          <c:idx val="4"/>
          <c:order val="4"/>
          <c:tx>
            <c:v>Mellifera4</c:v>
          </c:tx>
          <c:spPr>
            <a:ln w="38100">
              <a:solidFill>
                <a:srgbClr val="0000FF"/>
              </a:solidFill>
              <a:prstDash val="lgDash"/>
            </a:ln>
          </c:spPr>
          <c:marker>
            <c:symbol val="none"/>
          </c:marker>
          <c:xVal>
            <c:numRef>
              <c:f>'ИД и расчеты'!$I$219:$I$220</c:f>
              <c:numCache>
                <c:formatCode>0.00</c:formatCode>
                <c:ptCount val="2"/>
                <c:pt idx="0">
                  <c:v>0.76</c:v>
                </c:pt>
                <c:pt idx="1">
                  <c:v>2.16</c:v>
                </c:pt>
              </c:numCache>
            </c:numRef>
          </c:xVal>
          <c:yVal>
            <c:numRef>
              <c:f>'ИД и расчеты'!$J$219:$J$220</c:f>
              <c:numCache>
                <c:formatCode>0.00</c:formatCode>
                <c:ptCount val="2"/>
                <c:pt idx="0">
                  <c:v>0.61599999999999999</c:v>
                </c:pt>
                <c:pt idx="1">
                  <c:v>0.61599999999999999</c:v>
                </c:pt>
              </c:numCache>
            </c:numRef>
          </c:yVal>
          <c:smooth val="0"/>
        </c:ser>
        <c:ser>
          <c:idx val="5"/>
          <c:order val="5"/>
          <c:tx>
            <c:v>Caucasica1</c:v>
          </c:tx>
          <c:spPr>
            <a:ln w="38100">
              <a:solidFill>
                <a:srgbClr val="993300"/>
              </a:solidFill>
              <a:prstDash val="lgDash"/>
            </a:ln>
          </c:spPr>
          <c:marker>
            <c:symbol val="none"/>
          </c:marker>
          <c:xVal>
            <c:numRef>
              <c:f>'ИД и расчеты'!$C$221:$C$222</c:f>
              <c:numCache>
                <c:formatCode>0.00</c:formatCode>
                <c:ptCount val="2"/>
                <c:pt idx="0">
                  <c:v>1.73</c:v>
                </c:pt>
                <c:pt idx="1">
                  <c:v>1.73</c:v>
                </c:pt>
              </c:numCache>
            </c:numRef>
          </c:xVal>
          <c:yVal>
            <c:numRef>
              <c:f>'ИД и расчеты'!$D$221:$D$222</c:f>
              <c:numCache>
                <c:formatCode>0.00</c:formatCode>
                <c:ptCount val="2"/>
                <c:pt idx="0">
                  <c:v>0.70399999999999996</c:v>
                </c:pt>
                <c:pt idx="1">
                  <c:v>1.0269999999999999</c:v>
                </c:pt>
              </c:numCache>
            </c:numRef>
          </c:yVal>
          <c:smooth val="0"/>
        </c:ser>
        <c:ser>
          <c:idx val="6"/>
          <c:order val="6"/>
          <c:tx>
            <c:v>Caucasica2</c:v>
          </c:tx>
          <c:spPr>
            <a:ln w="38100">
              <a:solidFill>
                <a:srgbClr val="993300"/>
              </a:solidFill>
              <a:prstDash val="lgDash"/>
            </a:ln>
          </c:spPr>
          <c:marker>
            <c:symbol val="none"/>
          </c:marker>
          <c:xVal>
            <c:numRef>
              <c:f>'ИД и расчеты'!$E$221:$E$222</c:f>
              <c:numCache>
                <c:formatCode>0.00</c:formatCode>
                <c:ptCount val="2"/>
                <c:pt idx="0">
                  <c:v>1.73</c:v>
                </c:pt>
                <c:pt idx="1">
                  <c:v>2.75</c:v>
                </c:pt>
              </c:numCache>
            </c:numRef>
          </c:xVal>
          <c:yVal>
            <c:numRef>
              <c:f>'ИД и расчеты'!$F$221:$F$222</c:f>
              <c:numCache>
                <c:formatCode>0.00</c:formatCode>
                <c:ptCount val="2"/>
                <c:pt idx="0">
                  <c:v>1.0269999999999999</c:v>
                </c:pt>
                <c:pt idx="1">
                  <c:v>1.0269999999999999</c:v>
                </c:pt>
              </c:numCache>
            </c:numRef>
          </c:yVal>
          <c:smooth val="0"/>
        </c:ser>
        <c:ser>
          <c:idx val="7"/>
          <c:order val="7"/>
          <c:tx>
            <c:v>Caucasica3</c:v>
          </c:tx>
          <c:spPr>
            <a:ln w="38100">
              <a:solidFill>
                <a:srgbClr val="993300"/>
              </a:solidFill>
              <a:prstDash val="lgDash"/>
            </a:ln>
          </c:spPr>
          <c:marker>
            <c:symbol val="none"/>
          </c:marker>
          <c:xVal>
            <c:numRef>
              <c:f>'ИД и расчеты'!$G$221:$G$222</c:f>
              <c:numCache>
                <c:formatCode>0.00</c:formatCode>
                <c:ptCount val="2"/>
                <c:pt idx="0">
                  <c:v>2.75</c:v>
                </c:pt>
                <c:pt idx="1">
                  <c:v>2.75</c:v>
                </c:pt>
              </c:numCache>
            </c:numRef>
          </c:xVal>
          <c:yVal>
            <c:numRef>
              <c:f>'ИД и расчеты'!$H$221:$H$222</c:f>
              <c:numCache>
                <c:formatCode>0.00</c:formatCode>
                <c:ptCount val="2"/>
                <c:pt idx="0">
                  <c:v>0.70399999999999996</c:v>
                </c:pt>
                <c:pt idx="1">
                  <c:v>1.0269999999999999</c:v>
                </c:pt>
              </c:numCache>
            </c:numRef>
          </c:yVal>
          <c:smooth val="0"/>
        </c:ser>
        <c:ser>
          <c:idx val="8"/>
          <c:order val="8"/>
          <c:tx>
            <c:v>Caucasica4</c:v>
          </c:tx>
          <c:spPr>
            <a:ln w="38100">
              <a:solidFill>
                <a:srgbClr val="993300"/>
              </a:solidFill>
              <a:prstDash val="lgDash"/>
            </a:ln>
          </c:spPr>
          <c:marker>
            <c:symbol val="none"/>
          </c:marker>
          <c:xVal>
            <c:numRef>
              <c:f>'ИД и расчеты'!$I$221:$I$222</c:f>
              <c:numCache>
                <c:formatCode>0.00</c:formatCode>
                <c:ptCount val="2"/>
                <c:pt idx="0">
                  <c:v>1.73</c:v>
                </c:pt>
                <c:pt idx="1">
                  <c:v>2.75</c:v>
                </c:pt>
              </c:numCache>
            </c:numRef>
          </c:xVal>
          <c:yVal>
            <c:numRef>
              <c:f>'ИД и расчеты'!$J$221:$J$222</c:f>
              <c:numCache>
                <c:formatCode>0.00</c:formatCode>
                <c:ptCount val="2"/>
                <c:pt idx="0">
                  <c:v>0.70399999999999996</c:v>
                </c:pt>
                <c:pt idx="1">
                  <c:v>0.70399999999999996</c:v>
                </c:pt>
              </c:numCache>
            </c:numRef>
          </c:yVal>
          <c:smooth val="0"/>
        </c:ser>
        <c:ser>
          <c:idx val="9"/>
          <c:order val="9"/>
          <c:tx>
            <c:v>Ligustica1</c:v>
          </c:tx>
          <c:spPr>
            <a:ln w="38100">
              <a:solidFill>
                <a:srgbClr val="FFCC00"/>
              </a:solidFill>
              <a:prstDash val="lgDash"/>
            </a:ln>
          </c:spPr>
          <c:marker>
            <c:symbol val="none"/>
          </c:marker>
          <c:xVal>
            <c:numRef>
              <c:f>'ИД и расчеты'!$C$223:$C$224</c:f>
              <c:numCache>
                <c:formatCode>0.00</c:formatCode>
                <c:ptCount val="2"/>
                <c:pt idx="0">
                  <c:v>2</c:v>
                </c:pt>
                <c:pt idx="1">
                  <c:v>2</c:v>
                </c:pt>
              </c:numCache>
            </c:numRef>
          </c:xVal>
          <c:yVal>
            <c:numRef>
              <c:f>'ИД и расчеты'!$D$223:$D$224</c:f>
              <c:numCache>
                <c:formatCode>0.00</c:formatCode>
                <c:ptCount val="2"/>
                <c:pt idx="0">
                  <c:v>0.92300000000000004</c:v>
                </c:pt>
                <c:pt idx="1">
                  <c:v>1.206</c:v>
                </c:pt>
              </c:numCache>
            </c:numRef>
          </c:yVal>
          <c:smooth val="0"/>
        </c:ser>
        <c:ser>
          <c:idx val="10"/>
          <c:order val="10"/>
          <c:tx>
            <c:v>Ligustica2</c:v>
          </c:tx>
          <c:spPr>
            <a:ln w="38100">
              <a:solidFill>
                <a:srgbClr val="FFCC00"/>
              </a:solidFill>
              <a:prstDash val="lgDash"/>
            </a:ln>
          </c:spPr>
          <c:marker>
            <c:symbol val="none"/>
          </c:marker>
          <c:xVal>
            <c:numRef>
              <c:f>'ИД и расчеты'!$E$223:$E$224</c:f>
              <c:numCache>
                <c:formatCode>0.00</c:formatCode>
                <c:ptCount val="2"/>
                <c:pt idx="0">
                  <c:v>2</c:v>
                </c:pt>
                <c:pt idx="1">
                  <c:v>3.29</c:v>
                </c:pt>
              </c:numCache>
            </c:numRef>
          </c:xVal>
          <c:yVal>
            <c:numRef>
              <c:f>'ИД и расчеты'!$F$223:$F$224</c:f>
              <c:numCache>
                <c:formatCode>0.00</c:formatCode>
                <c:ptCount val="2"/>
                <c:pt idx="0">
                  <c:v>1.206</c:v>
                </c:pt>
                <c:pt idx="1">
                  <c:v>1.206</c:v>
                </c:pt>
              </c:numCache>
            </c:numRef>
          </c:yVal>
          <c:smooth val="0"/>
        </c:ser>
        <c:ser>
          <c:idx val="11"/>
          <c:order val="11"/>
          <c:tx>
            <c:v>Ligustica3</c:v>
          </c:tx>
          <c:spPr>
            <a:ln w="38100">
              <a:solidFill>
                <a:srgbClr val="FFCC00"/>
              </a:solidFill>
              <a:prstDash val="lgDash"/>
            </a:ln>
          </c:spPr>
          <c:marker>
            <c:symbol val="none"/>
          </c:marker>
          <c:xVal>
            <c:numRef>
              <c:f>'ИД и расчеты'!$G$223:$G$224</c:f>
              <c:numCache>
                <c:formatCode>0.00</c:formatCode>
                <c:ptCount val="2"/>
                <c:pt idx="0">
                  <c:v>3.29</c:v>
                </c:pt>
                <c:pt idx="1">
                  <c:v>3.29</c:v>
                </c:pt>
              </c:numCache>
            </c:numRef>
          </c:xVal>
          <c:yVal>
            <c:numRef>
              <c:f>'ИД и расчеты'!$H$223:$H$224</c:f>
              <c:numCache>
                <c:formatCode>0.00</c:formatCode>
                <c:ptCount val="2"/>
                <c:pt idx="0">
                  <c:v>0.92300000000000004</c:v>
                </c:pt>
                <c:pt idx="1">
                  <c:v>1.206</c:v>
                </c:pt>
              </c:numCache>
            </c:numRef>
          </c:yVal>
          <c:smooth val="0"/>
        </c:ser>
        <c:ser>
          <c:idx val="12"/>
          <c:order val="12"/>
          <c:tx>
            <c:v>Ligustica4</c:v>
          </c:tx>
          <c:spPr>
            <a:ln w="38100">
              <a:solidFill>
                <a:srgbClr val="FFCC00"/>
              </a:solidFill>
              <a:prstDash val="lgDash"/>
            </a:ln>
          </c:spPr>
          <c:marker>
            <c:symbol val="none"/>
          </c:marker>
          <c:xVal>
            <c:numRef>
              <c:f>'ИД и расчеты'!$I$223:$I$224</c:f>
              <c:numCache>
                <c:formatCode>0.00</c:formatCode>
                <c:ptCount val="2"/>
                <c:pt idx="0">
                  <c:v>2</c:v>
                </c:pt>
                <c:pt idx="1">
                  <c:v>3.29</c:v>
                </c:pt>
              </c:numCache>
            </c:numRef>
          </c:xVal>
          <c:yVal>
            <c:numRef>
              <c:f>'ИД и расчеты'!$J$223:$J$224</c:f>
              <c:numCache>
                <c:formatCode>0.00</c:formatCode>
                <c:ptCount val="2"/>
                <c:pt idx="0">
                  <c:v>0.92300000000000004</c:v>
                </c:pt>
                <c:pt idx="1">
                  <c:v>0.92300000000000004</c:v>
                </c:pt>
              </c:numCache>
            </c:numRef>
          </c:yVal>
          <c:smooth val="0"/>
        </c:ser>
        <c:ser>
          <c:idx val="13"/>
          <c:order val="13"/>
          <c:tx>
            <c:v>Carnica1</c:v>
          </c:tx>
          <c:spPr>
            <a:ln w="38100">
              <a:solidFill>
                <a:srgbClr val="008000"/>
              </a:solidFill>
              <a:prstDash val="lgDash"/>
            </a:ln>
          </c:spPr>
          <c:marker>
            <c:symbol val="none"/>
          </c:marker>
          <c:xVal>
            <c:numRef>
              <c:f>'ИД и расчеты'!$C$225:$C$226</c:f>
              <c:numCache>
                <c:formatCode>0.00</c:formatCode>
                <c:ptCount val="2"/>
                <c:pt idx="0">
                  <c:v>2.16</c:v>
                </c:pt>
                <c:pt idx="1">
                  <c:v>2.16</c:v>
                </c:pt>
              </c:numCache>
            </c:numRef>
          </c:xVal>
          <c:yVal>
            <c:numRef>
              <c:f>'ИД и расчеты'!$D$225:$D$226</c:f>
              <c:numCache>
                <c:formatCode>0.00</c:formatCode>
                <c:ptCount val="2"/>
                <c:pt idx="0">
                  <c:v>0.92300000000000004</c:v>
                </c:pt>
                <c:pt idx="1">
                  <c:v>1.42</c:v>
                </c:pt>
              </c:numCache>
            </c:numRef>
          </c:yVal>
          <c:smooth val="0"/>
        </c:ser>
        <c:ser>
          <c:idx val="14"/>
          <c:order val="14"/>
          <c:tx>
            <c:v>Carnica2</c:v>
          </c:tx>
          <c:spPr>
            <a:ln w="38100">
              <a:solidFill>
                <a:srgbClr val="008000"/>
              </a:solidFill>
              <a:prstDash val="lgDash"/>
            </a:ln>
          </c:spPr>
          <c:marker>
            <c:symbol val="none"/>
          </c:marker>
          <c:xVal>
            <c:numRef>
              <c:f>'ИД и расчеты'!$E$225:$E$226</c:f>
              <c:numCache>
                <c:formatCode>0.00</c:formatCode>
                <c:ptCount val="2"/>
                <c:pt idx="0">
                  <c:v>2.16</c:v>
                </c:pt>
                <c:pt idx="1">
                  <c:v>5.67</c:v>
                </c:pt>
              </c:numCache>
            </c:numRef>
          </c:xVal>
          <c:yVal>
            <c:numRef>
              <c:f>'ИД и расчеты'!$F$225:$F$226</c:f>
              <c:numCache>
                <c:formatCode>0.00</c:formatCode>
                <c:ptCount val="2"/>
                <c:pt idx="0">
                  <c:v>1.42</c:v>
                </c:pt>
                <c:pt idx="1">
                  <c:v>1.42</c:v>
                </c:pt>
              </c:numCache>
            </c:numRef>
          </c:yVal>
          <c:smooth val="0"/>
        </c:ser>
        <c:ser>
          <c:idx val="15"/>
          <c:order val="15"/>
          <c:tx>
            <c:v>Carnica3</c:v>
          </c:tx>
          <c:spPr>
            <a:ln w="38100">
              <a:solidFill>
                <a:srgbClr val="008000"/>
              </a:solidFill>
              <a:prstDash val="lgDash"/>
            </a:ln>
          </c:spPr>
          <c:marker>
            <c:symbol val="none"/>
          </c:marker>
          <c:xVal>
            <c:numRef>
              <c:f>'ИД и расчеты'!$G$225:$G$226</c:f>
              <c:numCache>
                <c:formatCode>0.00</c:formatCode>
                <c:ptCount val="2"/>
                <c:pt idx="0">
                  <c:v>5.67</c:v>
                </c:pt>
                <c:pt idx="1">
                  <c:v>5.67</c:v>
                </c:pt>
              </c:numCache>
            </c:numRef>
          </c:xVal>
          <c:yVal>
            <c:numRef>
              <c:f>'ИД и расчеты'!$H$225:$H$226</c:f>
              <c:numCache>
                <c:formatCode>0.00</c:formatCode>
                <c:ptCount val="2"/>
                <c:pt idx="0">
                  <c:v>0.92300000000000004</c:v>
                </c:pt>
                <c:pt idx="1">
                  <c:v>1.42</c:v>
                </c:pt>
              </c:numCache>
            </c:numRef>
          </c:yVal>
          <c:smooth val="0"/>
        </c:ser>
        <c:ser>
          <c:idx val="16"/>
          <c:order val="16"/>
          <c:tx>
            <c:v>Carnica4</c:v>
          </c:tx>
          <c:spPr>
            <a:ln w="38100">
              <a:solidFill>
                <a:srgbClr val="008000"/>
              </a:solidFill>
              <a:prstDash val="lgDash"/>
            </a:ln>
          </c:spPr>
          <c:marker>
            <c:symbol val="none"/>
          </c:marker>
          <c:xVal>
            <c:numRef>
              <c:f>'ИД и расчеты'!$I$225:$I$226</c:f>
              <c:numCache>
                <c:formatCode>0.00</c:formatCode>
                <c:ptCount val="2"/>
                <c:pt idx="0">
                  <c:v>2.16</c:v>
                </c:pt>
                <c:pt idx="1">
                  <c:v>5.67</c:v>
                </c:pt>
              </c:numCache>
            </c:numRef>
          </c:xVal>
          <c:yVal>
            <c:numRef>
              <c:f>'ИД и расчеты'!$J$225:$J$226</c:f>
              <c:numCache>
                <c:formatCode>0.00</c:formatCode>
                <c:ptCount val="2"/>
                <c:pt idx="0">
                  <c:v>0.92300000000000004</c:v>
                </c:pt>
                <c:pt idx="1">
                  <c:v>0.92300000000000004</c:v>
                </c:pt>
              </c:numCache>
            </c:numRef>
          </c:yVal>
          <c:smooth val="0"/>
        </c:ser>
        <c:ser>
          <c:idx val="17"/>
          <c:order val="17"/>
          <c:tx>
            <c:v>Doverit1</c:v>
          </c:tx>
          <c:spPr>
            <a:ln w="38100">
              <a:solidFill>
                <a:srgbClr val="FF0000"/>
              </a:solidFill>
              <a:prstDash val="solid"/>
            </a:ln>
          </c:spPr>
          <c:marker>
            <c:symbol val="none"/>
          </c:marker>
          <c:xVal>
            <c:numRef>
              <c:f>'ИД и расчеты'!$C$227:$C$228</c:f>
              <c:numCache>
                <c:formatCode>0.00</c:formatCode>
                <c:ptCount val="2"/>
                <c:pt idx="0">
                  <c:v>1.1960508255471205</c:v>
                </c:pt>
                <c:pt idx="1">
                  <c:v>1.1960508255471205</c:v>
                </c:pt>
              </c:numCache>
            </c:numRef>
          </c:xVal>
          <c:yVal>
            <c:numRef>
              <c:f>'ИД и расчеты'!$D$227:$D$228</c:f>
              <c:numCache>
                <c:formatCode>0.00</c:formatCode>
                <c:ptCount val="2"/>
                <c:pt idx="0">
                  <c:v>0.75242070326364108</c:v>
                </c:pt>
                <c:pt idx="1">
                  <c:v>0.93274070326364111</c:v>
                </c:pt>
              </c:numCache>
            </c:numRef>
          </c:yVal>
          <c:smooth val="0"/>
        </c:ser>
        <c:ser>
          <c:idx val="18"/>
          <c:order val="18"/>
          <c:tx>
            <c:v>Doverit2</c:v>
          </c:tx>
          <c:spPr>
            <a:ln w="38100">
              <a:solidFill>
                <a:srgbClr val="FF0000"/>
              </a:solidFill>
              <a:prstDash val="solid"/>
            </a:ln>
          </c:spPr>
          <c:marker>
            <c:symbol val="none"/>
          </c:marker>
          <c:xVal>
            <c:numRef>
              <c:f>'ИД и расчеты'!$E$227:$E$228</c:f>
              <c:numCache>
                <c:formatCode>0.00</c:formatCode>
                <c:ptCount val="2"/>
                <c:pt idx="0">
                  <c:v>1.1960508255471205</c:v>
                </c:pt>
                <c:pt idx="1">
                  <c:v>1.6703708255471206</c:v>
                </c:pt>
              </c:numCache>
            </c:numRef>
          </c:xVal>
          <c:yVal>
            <c:numRef>
              <c:f>'ИД и расчеты'!$F$227:$F$228</c:f>
              <c:numCache>
                <c:formatCode>0.00</c:formatCode>
                <c:ptCount val="2"/>
                <c:pt idx="0">
                  <c:v>0.93274070326364111</c:v>
                </c:pt>
                <c:pt idx="1">
                  <c:v>0.93274070326364111</c:v>
                </c:pt>
              </c:numCache>
            </c:numRef>
          </c:yVal>
          <c:smooth val="0"/>
        </c:ser>
        <c:ser>
          <c:idx val="19"/>
          <c:order val="19"/>
          <c:tx>
            <c:v>Doverit3</c:v>
          </c:tx>
          <c:spPr>
            <a:ln w="38100">
              <a:solidFill>
                <a:srgbClr val="FF0000"/>
              </a:solidFill>
              <a:prstDash val="solid"/>
            </a:ln>
          </c:spPr>
          <c:marker>
            <c:symbol val="none"/>
          </c:marker>
          <c:xVal>
            <c:numRef>
              <c:f>'ИД и расчеты'!$G$227:$G$228</c:f>
              <c:numCache>
                <c:formatCode>0.00</c:formatCode>
                <c:ptCount val="2"/>
                <c:pt idx="0">
                  <c:v>1.6703708255471206</c:v>
                </c:pt>
                <c:pt idx="1">
                  <c:v>1.6703708255471206</c:v>
                </c:pt>
              </c:numCache>
            </c:numRef>
          </c:xVal>
          <c:yVal>
            <c:numRef>
              <c:f>'ИД и расчеты'!$H$227:$H$228</c:f>
              <c:numCache>
                <c:formatCode>0.00</c:formatCode>
                <c:ptCount val="2"/>
                <c:pt idx="0">
                  <c:v>0.75242070326364108</c:v>
                </c:pt>
                <c:pt idx="1">
                  <c:v>0.93274070326364111</c:v>
                </c:pt>
              </c:numCache>
            </c:numRef>
          </c:yVal>
          <c:smooth val="0"/>
        </c:ser>
        <c:ser>
          <c:idx val="20"/>
          <c:order val="20"/>
          <c:tx>
            <c:v>Doverit4</c:v>
          </c:tx>
          <c:spPr>
            <a:ln w="38100">
              <a:solidFill>
                <a:srgbClr val="FF0000"/>
              </a:solidFill>
              <a:prstDash val="solid"/>
            </a:ln>
          </c:spPr>
          <c:marker>
            <c:symbol val="none"/>
          </c:marker>
          <c:xVal>
            <c:numRef>
              <c:f>'ИД и расчеты'!$I$227:$I$228</c:f>
              <c:numCache>
                <c:formatCode>0.00</c:formatCode>
                <c:ptCount val="2"/>
                <c:pt idx="0">
                  <c:v>1.1960508255471205</c:v>
                </c:pt>
                <c:pt idx="1">
                  <c:v>1.6703708255471206</c:v>
                </c:pt>
              </c:numCache>
            </c:numRef>
          </c:xVal>
          <c:yVal>
            <c:numRef>
              <c:f>'ИД и расчеты'!$J$227:$J$228</c:f>
              <c:numCache>
                <c:formatCode>0.00</c:formatCode>
                <c:ptCount val="2"/>
                <c:pt idx="0">
                  <c:v>0.75242070326364108</c:v>
                </c:pt>
                <c:pt idx="1">
                  <c:v>0.75242070326364108</c:v>
                </c:pt>
              </c:numCache>
            </c:numRef>
          </c:yVal>
          <c:smooth val="0"/>
        </c:ser>
        <c:dLbls>
          <c:showLegendKey val="0"/>
          <c:showVal val="0"/>
          <c:showCatName val="0"/>
          <c:showSerName val="0"/>
          <c:showPercent val="0"/>
          <c:showBubbleSize val="0"/>
        </c:dLbls>
        <c:axId val="577328800"/>
        <c:axId val="577329192"/>
      </c:scatterChart>
      <c:valAx>
        <c:axId val="577328800"/>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6154033096290326"/>
              <c:y val="0.87731767342031886"/>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7329192"/>
        <c:crosses val="autoZero"/>
        <c:crossBetween val="midCat"/>
        <c:majorUnit val="0.5"/>
      </c:valAx>
      <c:valAx>
        <c:axId val="577329192"/>
        <c:scaling>
          <c:orientation val="minMax"/>
          <c:max val="1.5"/>
          <c:min val="0.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Hi</a:t>
                </a:r>
              </a:p>
            </c:rich>
          </c:tx>
          <c:layout>
            <c:manualLayout>
              <c:xMode val="edge"/>
              <c:yMode val="edge"/>
              <c:x val="3.4188034188034191E-2"/>
              <c:y val="1.6203729929442273E-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7328800"/>
        <c:crosses val="autoZero"/>
        <c:crossBetween val="midCat"/>
        <c:majorUnit val="0.1"/>
        <c:minorUnit val="0.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4. Распределение </a:t>
            </a:r>
            <a:r>
              <a:rPr lang="en-US"/>
              <a:t>DsA / HI</a:t>
            </a:r>
          </a:p>
        </c:rich>
      </c:tx>
      <c:layout>
        <c:manualLayout>
          <c:xMode val="edge"/>
          <c:yMode val="edge"/>
          <c:x val="0.34330559107462"/>
          <c:y val="1.6241349372437434E-2"/>
        </c:manualLayout>
      </c:layout>
      <c:overlay val="0"/>
      <c:spPr>
        <a:noFill/>
        <a:ln w="25400">
          <a:noFill/>
        </a:ln>
      </c:spPr>
    </c:title>
    <c:autoTitleDeleted val="0"/>
    <c:plotArea>
      <c:layout>
        <c:manualLayout>
          <c:layoutTarget val="inner"/>
          <c:xMode val="edge"/>
          <c:yMode val="edge"/>
          <c:x val="5.2706653522926396E-2"/>
          <c:y val="0.10208842728003711"/>
          <c:w val="0.88889058914340746"/>
          <c:h val="0.85847086576394838"/>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Индексы!$D$2:$D$102</c:f>
              <c:numCache>
                <c:formatCode>0.000</c:formatCode>
                <c:ptCount val="101"/>
                <c:pt idx="0">
                  <c:v>0.85631379086348691</c:v>
                </c:pt>
                <c:pt idx="1">
                  <c:v>0.8237946668540852</c:v>
                </c:pt>
                <c:pt idx="2">
                  <c:v>0.80539681058715062</c:v>
                </c:pt>
                <c:pt idx="3">
                  <c:v>0.90698769183806183</c:v>
                </c:pt>
                <c:pt idx="4">
                  <c:v>0.88299957033836651</c:v>
                </c:pt>
                <c:pt idx="5">
                  <c:v>0.83826787677931225</c:v>
                </c:pt>
                <c:pt idx="6">
                  <c:v>0.91770721305868463</c:v>
                </c:pt>
                <c:pt idx="7">
                  <c:v>0.86740475860341337</c:v>
                </c:pt>
                <c:pt idx="8">
                  <c:v>0.86447517308111865</c:v>
                </c:pt>
                <c:pt idx="9">
                  <c:v>0.83966281247175023</c:v>
                </c:pt>
                <c:pt idx="10">
                  <c:v>0.90780211236216835</c:v>
                </c:pt>
                <c:pt idx="11">
                  <c:v>0.81670378727059412</c:v>
                </c:pt>
                <c:pt idx="12">
                  <c:v>0.78387965815955563</c:v>
                </c:pt>
                <c:pt idx="13">
                  <c:v>0.90855299859134342</c:v>
                </c:pt>
                <c:pt idx="14">
                  <c:v>0.81052363916299175</c:v>
                </c:pt>
                <c:pt idx="15">
                  <c:v>0.88641422566491623</c:v>
                </c:pt>
                <c:pt idx="16">
                  <c:v>0.82588245907720026</c:v>
                </c:pt>
                <c:pt idx="17">
                  <c:v>0.82430399518174657</c:v>
                </c:pt>
                <c:pt idx="18">
                  <c:v>0.8474675738635713</c:v>
                </c:pt>
                <c:pt idx="19">
                  <c:v>0.81845011257771183</c:v>
                </c:pt>
                <c:pt idx="20">
                  <c:v>0.7996103867123312</c:v>
                </c:pt>
                <c:pt idx="21">
                  <c:v>0.85563026884200899</c:v>
                </c:pt>
                <c:pt idx="22">
                  <c:v>0.78968048435824822</c:v>
                </c:pt>
                <c:pt idx="23">
                  <c:v>0.86744270740412355</c:v>
                </c:pt>
                <c:pt idx="24">
                  <c:v>0.80448031442260104</c:v>
                </c:pt>
                <c:pt idx="25">
                  <c:v>0.7249616498777266</c:v>
                </c:pt>
                <c:pt idx="26">
                  <c:v>0.84969551009130739</c:v>
                </c:pt>
                <c:pt idx="27">
                  <c:v>0.8883911740868019</c:v>
                </c:pt>
                <c:pt idx="28">
                  <c:v>0.77202449817394792</c:v>
                </c:pt>
                <c:pt idx="29">
                  <c:v>0.89251317755290194</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0.8425807032636411</c:v>
                </c:pt>
              </c:numCache>
            </c:numRef>
          </c:xVal>
          <c:yVal>
            <c:numRef>
              <c:f>Индексы!$C$2:$C$102</c:f>
              <c:numCache>
                <c:formatCode>0.000</c:formatCode>
                <c:ptCount val="101"/>
                <c:pt idx="0">
                  <c:v>-2.6684626069025401</c:v>
                </c:pt>
                <c:pt idx="1">
                  <c:v>-4.9316434441713071</c:v>
                </c:pt>
                <c:pt idx="2">
                  <c:v>-4.8083127926878433</c:v>
                </c:pt>
                <c:pt idx="3">
                  <c:v>-3.7636542221458091</c:v>
                </c:pt>
                <c:pt idx="4">
                  <c:v>-4.6579397829616793</c:v>
                </c:pt>
                <c:pt idx="5">
                  <c:v>-3.8726624621959367</c:v>
                </c:pt>
                <c:pt idx="6">
                  <c:v>-2.886617787206224</c:v>
                </c:pt>
                <c:pt idx="7">
                  <c:v>-4.8886031145664619</c:v>
                </c:pt>
                <c:pt idx="8">
                  <c:v>-4.852979111591269</c:v>
                </c:pt>
                <c:pt idx="9">
                  <c:v>-4.9864935974229718</c:v>
                </c:pt>
                <c:pt idx="10">
                  <c:v>-1.8884006427466298</c:v>
                </c:pt>
                <c:pt idx="11">
                  <c:v>-3.8855214414860804</c:v>
                </c:pt>
                <c:pt idx="12">
                  <c:v>-6.0150370787342728</c:v>
                </c:pt>
                <c:pt idx="13">
                  <c:v>-4.9263530812072149</c:v>
                </c:pt>
                <c:pt idx="14">
                  <c:v>-3.6106317132264709</c:v>
                </c:pt>
                <c:pt idx="15">
                  <c:v>-2.9216155333568046</c:v>
                </c:pt>
                <c:pt idx="16">
                  <c:v>-4.3103198810945917</c:v>
                </c:pt>
                <c:pt idx="17">
                  <c:v>-4.6048660800736227</c:v>
                </c:pt>
                <c:pt idx="18">
                  <c:v>-3.4567376821430971</c:v>
                </c:pt>
                <c:pt idx="19">
                  <c:v>-3.5408610476124687</c:v>
                </c:pt>
                <c:pt idx="20">
                  <c:v>-4.4542031351921905</c:v>
                </c:pt>
                <c:pt idx="21">
                  <c:v>-3.2562577411400477</c:v>
                </c:pt>
                <c:pt idx="22">
                  <c:v>-3.9252765242877001</c:v>
                </c:pt>
                <c:pt idx="23">
                  <c:v>-2.0638502119792119</c:v>
                </c:pt>
                <c:pt idx="24">
                  <c:v>-4.5573537713311199</c:v>
                </c:pt>
                <c:pt idx="25">
                  <c:v>-6.6836737105143449</c:v>
                </c:pt>
                <c:pt idx="26">
                  <c:v>-2.4694710723225199</c:v>
                </c:pt>
                <c:pt idx="27">
                  <c:v>-3.3210731431633951</c:v>
                </c:pt>
                <c:pt idx="28">
                  <c:v>-6.1821925596978904</c:v>
                </c:pt>
                <c:pt idx="29">
                  <c:v>-3.1323700105419423</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-4.0507811661234552</c:v>
                </c:pt>
              </c:numCache>
            </c:numRef>
          </c:yVal>
          <c:smooth val="0"/>
        </c:ser>
        <c:ser>
          <c:idx val="1"/>
          <c:order val="1"/>
          <c:tx>
            <c:v>Mellifera1</c:v>
          </c:tx>
          <c:spPr>
            <a:ln w="38100">
              <a:solidFill>
                <a:srgbClr val="0000FF"/>
              </a:solidFill>
              <a:prstDash val="lgDash"/>
            </a:ln>
          </c:spPr>
          <c:marker>
            <c:symbol val="none"/>
          </c:marker>
          <c:xVal>
            <c:numRef>
              <c:f>'ИД и расчеты'!$C$229:$C$230</c:f>
              <c:numCache>
                <c:formatCode>0.00</c:formatCode>
                <c:ptCount val="2"/>
                <c:pt idx="0">
                  <c:v>0.61599999999999999</c:v>
                </c:pt>
                <c:pt idx="1">
                  <c:v>0.61599999999999999</c:v>
                </c:pt>
              </c:numCache>
            </c:numRef>
          </c:xVal>
          <c:yVal>
            <c:numRef>
              <c:f>'ИД и расчеты'!$D$229:$D$230</c:f>
              <c:numCache>
                <c:formatCode>0.00</c:formatCode>
                <c:ptCount val="2"/>
                <c:pt idx="0">
                  <c:v>-15.31</c:v>
                </c:pt>
                <c:pt idx="1">
                  <c:v>0</c:v>
                </c:pt>
              </c:numCache>
            </c:numRef>
          </c:yVal>
          <c:smooth val="0"/>
        </c:ser>
        <c:ser>
          <c:idx val="2"/>
          <c:order val="2"/>
          <c:tx>
            <c:v>Mellifera2</c:v>
          </c:tx>
          <c:spPr>
            <a:ln w="38100">
              <a:solidFill>
                <a:srgbClr val="0000FF"/>
              </a:solidFill>
              <a:prstDash val="lgDash"/>
            </a:ln>
          </c:spPr>
          <c:marker>
            <c:symbol val="none"/>
          </c:marker>
          <c:xVal>
            <c:numRef>
              <c:f>'ИД и расчеты'!$E$229:$E$230</c:f>
              <c:numCache>
                <c:formatCode>0.00</c:formatCode>
                <c:ptCount val="2"/>
                <c:pt idx="0">
                  <c:v>0.61599999999999999</c:v>
                </c:pt>
                <c:pt idx="1">
                  <c:v>0.92300000000000004</c:v>
                </c:pt>
              </c:numCache>
            </c:numRef>
          </c:xVal>
          <c:yVal>
            <c:numRef>
              <c:f>'ИД и расчеты'!$F$229:$F$230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xVal>
            <c:numRef>
              <c:f>'ИД и расчеты'!$G$229:$G$230</c:f>
              <c:numCache>
                <c:formatCode>0.00</c:formatCode>
                <c:ptCount val="2"/>
                <c:pt idx="0">
                  <c:v>0.92300000000000004</c:v>
                </c:pt>
                <c:pt idx="1">
                  <c:v>0.92300000000000004</c:v>
                </c:pt>
              </c:numCache>
            </c:numRef>
          </c:xVal>
          <c:yVal>
            <c:numRef>
              <c:f>'ИД и расчеты'!$H$229:$H$230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расчеты'!$I$229:$I$230</c:f>
              <c:numCache>
                <c:formatCode>0.00</c:formatCode>
                <c:ptCount val="2"/>
                <c:pt idx="0">
                  <c:v>0.61599999999999999</c:v>
                </c:pt>
                <c:pt idx="1">
                  <c:v>0.92300000000000004</c:v>
                </c:pt>
              </c:numCache>
            </c:numRef>
          </c:xVal>
          <c:yVal>
            <c:numRef>
              <c:f>'ИД и расчеты'!$J$229:$J$230</c:f>
              <c:numCache>
                <c:formatCode>0.00</c:formatCode>
                <c:ptCount val="2"/>
                <c:pt idx="0">
                  <c:v>-15.31</c:v>
                </c:pt>
                <c:pt idx="1">
                  <c:v>-15.31</c:v>
                </c:pt>
              </c:numCache>
            </c:numRef>
          </c:yVal>
          <c:smooth val="0"/>
        </c:ser>
        <c:ser>
          <c:idx val="5"/>
          <c:order val="5"/>
          <c:tx>
            <c:v>Caucasica1</c:v>
          </c:tx>
          <c:spPr>
            <a:ln w="38100">
              <a:solidFill>
                <a:srgbClr val="993300"/>
              </a:solidFill>
              <a:prstDash val="lgDash"/>
            </a:ln>
          </c:spPr>
          <c:marker>
            <c:symbol val="none"/>
          </c:marker>
          <c:xVal>
            <c:numRef>
              <c:f>'ИД и расчеты'!$C$231:$C$232</c:f>
              <c:numCache>
                <c:formatCode>0.00</c:formatCode>
                <c:ptCount val="2"/>
                <c:pt idx="0">
                  <c:v>0.70399999999999996</c:v>
                </c:pt>
                <c:pt idx="1">
                  <c:v>0.70399999999999996</c:v>
                </c:pt>
              </c:numCache>
            </c:numRef>
          </c:xVal>
          <c:yVal>
            <c:numRef>
              <c:f>'ИД и расчеты'!$D$231:$D$232</c:f>
              <c:numCache>
                <c:formatCode>0.00</c:formatCode>
                <c:ptCount val="2"/>
                <c:pt idx="0">
                  <c:v>-2.84</c:v>
                </c:pt>
                <c:pt idx="1">
                  <c:v>2.84</c:v>
                </c:pt>
              </c:numCache>
            </c:numRef>
          </c:yVal>
          <c:smooth val="0"/>
        </c:ser>
        <c:ser>
          <c:idx val="6"/>
          <c:order val="6"/>
          <c:tx>
            <c:v>Caucasica2</c:v>
          </c:tx>
          <c:spPr>
            <a:ln w="38100">
              <a:solidFill>
                <a:srgbClr val="993300"/>
              </a:solidFill>
              <a:prstDash val="lgDash"/>
            </a:ln>
          </c:spPr>
          <c:marker>
            <c:symbol val="none"/>
          </c:marker>
          <c:xVal>
            <c:numRef>
              <c:f>'ИД и расчеты'!$E$231:$E$232</c:f>
              <c:numCache>
                <c:formatCode>0.00</c:formatCode>
                <c:ptCount val="2"/>
                <c:pt idx="0">
                  <c:v>0.70399999999999996</c:v>
                </c:pt>
                <c:pt idx="1">
                  <c:v>1.0269999999999999</c:v>
                </c:pt>
              </c:numCache>
            </c:numRef>
          </c:xVal>
          <c:yVal>
            <c:numRef>
              <c:f>'ИД и расчеты'!$F$231:$F$232</c:f>
              <c:numCache>
                <c:formatCode>0.00</c:formatCode>
                <c:ptCount val="2"/>
                <c:pt idx="0">
                  <c:v>2.84</c:v>
                </c:pt>
                <c:pt idx="1">
                  <c:v>2.84</c:v>
                </c:pt>
              </c:numCache>
            </c:numRef>
          </c:yVal>
          <c:smooth val="0"/>
        </c:ser>
        <c:ser>
          <c:idx val="7"/>
          <c:order val="7"/>
          <c:tx>
            <c:v>Caucasica3</c:v>
          </c:tx>
          <c:spPr>
            <a:ln w="38100">
              <a:solidFill>
                <a:srgbClr val="993300"/>
              </a:solidFill>
              <a:prstDash val="lgDash"/>
            </a:ln>
          </c:spPr>
          <c:marker>
            <c:symbol val="none"/>
          </c:marker>
          <c:xVal>
            <c:numRef>
              <c:f>'ИД и расчеты'!$G$231:$G$232</c:f>
              <c:numCache>
                <c:formatCode>0.00</c:formatCode>
                <c:ptCount val="2"/>
                <c:pt idx="0">
                  <c:v>1.0269999999999999</c:v>
                </c:pt>
                <c:pt idx="1">
                  <c:v>1.0269999999999999</c:v>
                </c:pt>
              </c:numCache>
            </c:numRef>
          </c:xVal>
          <c:yVal>
            <c:numRef>
              <c:f>'ИД и расчеты'!$H$231:$H$232</c:f>
              <c:numCache>
                <c:formatCode>0.00</c:formatCode>
                <c:ptCount val="2"/>
                <c:pt idx="0">
                  <c:v>-2.84</c:v>
                </c:pt>
                <c:pt idx="1">
                  <c:v>2.84</c:v>
                </c:pt>
              </c:numCache>
            </c:numRef>
          </c:yVal>
          <c:smooth val="0"/>
        </c:ser>
        <c:ser>
          <c:idx val="8"/>
          <c:order val="8"/>
          <c:tx>
            <c:v>Caucasica4</c:v>
          </c:tx>
          <c:spPr>
            <a:ln w="38100">
              <a:solidFill>
                <a:srgbClr val="993300"/>
              </a:solidFill>
              <a:prstDash val="lgDash"/>
            </a:ln>
          </c:spPr>
          <c:marker>
            <c:symbol val="none"/>
          </c:marker>
          <c:xVal>
            <c:numRef>
              <c:f>'ИД и расчеты'!$I$231:$I$232</c:f>
              <c:numCache>
                <c:formatCode>0.00</c:formatCode>
                <c:ptCount val="2"/>
                <c:pt idx="0">
                  <c:v>0.70399999999999996</c:v>
                </c:pt>
                <c:pt idx="1">
                  <c:v>1.0269999999999999</c:v>
                </c:pt>
              </c:numCache>
            </c:numRef>
          </c:xVal>
          <c:yVal>
            <c:numRef>
              <c:f>'ИД и расчеты'!$J$231:$J$232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расчеты'!$C$233:$C$234</c:f>
              <c:numCache>
                <c:formatCode>0.00</c:formatCode>
                <c:ptCount val="2"/>
                <c:pt idx="0">
                  <c:v>0.92300000000000004</c:v>
                </c:pt>
                <c:pt idx="1">
                  <c:v>0.92300000000000004</c:v>
                </c:pt>
              </c:numCache>
            </c:numRef>
          </c:xVal>
          <c:yVal>
            <c:numRef>
              <c:f>'ИД и расчеты'!$D$233:$D$234</c:f>
              <c:numCache>
                <c:formatCode>0.00</c:formatCode>
                <c:ptCount val="2"/>
                <c:pt idx="0">
                  <c:v>0</c:v>
                </c:pt>
                <c:pt idx="1">
                  <c:v>4.7300000000000004</c:v>
                </c:pt>
              </c:numCache>
            </c:numRef>
          </c:yVal>
          <c:smooth val="0"/>
        </c:ser>
        <c:ser>
          <c:idx val="10"/>
          <c:order val="10"/>
          <c:tx>
            <c:v>Ligustica2</c:v>
          </c:tx>
          <c:spPr>
            <a:ln w="38100">
              <a:solidFill>
                <a:srgbClr val="FFCC00"/>
              </a:solidFill>
              <a:prstDash val="lgDash"/>
            </a:ln>
          </c:spPr>
          <c:marker>
            <c:symbol val="none"/>
          </c:marker>
          <c:xVal>
            <c:numRef>
              <c:f>'ИД и расчеты'!$E$233:$E$234</c:f>
              <c:numCache>
                <c:formatCode>0.00</c:formatCode>
                <c:ptCount val="2"/>
                <c:pt idx="0">
                  <c:v>0.92300000000000004</c:v>
                </c:pt>
                <c:pt idx="1">
                  <c:v>1.206</c:v>
                </c:pt>
              </c:numCache>
            </c:numRef>
          </c:xVal>
          <c:yVal>
            <c:numRef>
              <c:f>'ИД и расчеты'!$F$233:$F$234</c:f>
              <c:numCache>
                <c:formatCode>0.00</c:formatCode>
                <c:ptCount val="2"/>
                <c:pt idx="0">
                  <c:v>4.7300000000000004</c:v>
                </c:pt>
                <c:pt idx="1">
                  <c:v>4.7300000000000004</c:v>
                </c:pt>
              </c:numCache>
            </c:numRef>
          </c:yVal>
          <c:smooth val="0"/>
        </c:ser>
        <c:ser>
          <c:idx val="11"/>
          <c:order val="11"/>
          <c:tx>
            <c:v>Ligustica3</c:v>
          </c:tx>
          <c:spPr>
            <a:ln w="38100">
              <a:solidFill>
                <a:srgbClr val="FFCC00"/>
              </a:solidFill>
              <a:prstDash val="lgDash"/>
            </a:ln>
          </c:spPr>
          <c:marker>
            <c:symbol val="none"/>
          </c:marker>
          <c:xVal>
            <c:numRef>
              <c:f>'ИД и расчеты'!$G$233:$G$234</c:f>
              <c:numCache>
                <c:formatCode>0.00</c:formatCode>
                <c:ptCount val="2"/>
                <c:pt idx="0">
                  <c:v>1.206</c:v>
                </c:pt>
                <c:pt idx="1">
                  <c:v>1.206</c:v>
                </c:pt>
              </c:numCache>
            </c:numRef>
          </c:xVal>
          <c:yVal>
            <c:numRef>
              <c:f>'ИД и расчеты'!$H$233:$H$234</c:f>
              <c:numCache>
                <c:formatCode>0.00</c:formatCode>
                <c:ptCount val="2"/>
                <c:pt idx="0">
                  <c:v>0</c:v>
                </c:pt>
                <c:pt idx="1">
                  <c:v>4.7300000000000004</c:v>
                </c:pt>
              </c:numCache>
            </c:numRef>
          </c:yVal>
          <c:smooth val="0"/>
        </c:ser>
        <c:ser>
          <c:idx val="12"/>
          <c:order val="12"/>
          <c:tx>
            <c:v>Ligustica4</c:v>
          </c:tx>
          <c:spPr>
            <a:ln w="38100">
              <a:solidFill>
                <a:srgbClr val="FFCC00"/>
              </a:solidFill>
              <a:prstDash val="lgDash"/>
            </a:ln>
          </c:spPr>
          <c:marker>
            <c:symbol val="none"/>
          </c:marker>
          <c:xVal>
            <c:numRef>
              <c:f>'ИД и расчеты'!$I$233:$I$234</c:f>
              <c:numCache>
                <c:formatCode>0.00</c:formatCode>
                <c:ptCount val="2"/>
                <c:pt idx="0">
                  <c:v>0.92300000000000004</c:v>
                </c:pt>
                <c:pt idx="1">
                  <c:v>1.206</c:v>
                </c:pt>
              </c:numCache>
            </c:numRef>
          </c:xVal>
          <c:yVal>
            <c:numRef>
              <c:f>'ИД и расчеты'!$J$233:$J$234</c:f>
              <c:numCache>
                <c:formatCode>0.00</c:formatCode>
                <c:ptCount val="2"/>
                <c:pt idx="0">
                  <c:v>0</c:v>
                </c:pt>
                <c:pt idx="1">
                  <c:v>0</c:v>
                </c:pt>
              </c:numCache>
            </c:numRef>
          </c:yVal>
          <c:smooth val="0"/>
        </c:ser>
        <c:ser>
          <c:idx val="13"/>
          <c:order val="13"/>
          <c:tx>
            <c:v>Carnica1</c:v>
          </c:tx>
          <c:spPr>
            <a:ln w="38100">
              <a:solidFill>
                <a:srgbClr val="008000"/>
              </a:solidFill>
              <a:prstDash val="lgDash"/>
            </a:ln>
          </c:spPr>
          <c:marker>
            <c:symbol val="none"/>
          </c:marker>
          <c:xVal>
            <c:numRef>
              <c:f>'ИД и расчеты'!$C$235:$C$236</c:f>
              <c:numCache>
                <c:formatCode>0.00</c:formatCode>
                <c:ptCount val="2"/>
                <c:pt idx="0">
                  <c:v>0.92300000000000004</c:v>
                </c:pt>
                <c:pt idx="1">
                  <c:v>0.92300000000000004</c:v>
                </c:pt>
              </c:numCache>
            </c:numRef>
          </c:xVal>
          <c:yVal>
            <c:numRef>
              <c:f>'ИД и расчеты'!$D$235:$D$236</c:f>
              <c:numCache>
                <c:formatCode>0.00</c:formatCode>
                <c:ptCount val="2"/>
                <c:pt idx="0">
                  <c:v>0</c:v>
                </c:pt>
                <c:pt idx="1">
                  <c:v>12.39</c:v>
                </c:pt>
              </c:numCache>
            </c:numRef>
          </c:yVal>
          <c:smooth val="0"/>
        </c:ser>
        <c:ser>
          <c:idx val="14"/>
          <c:order val="14"/>
          <c:tx>
            <c:v>Carnica2</c:v>
          </c:tx>
          <c:spPr>
            <a:ln w="38100">
              <a:solidFill>
                <a:srgbClr val="008000"/>
              </a:solidFill>
              <a:prstDash val="lgDash"/>
            </a:ln>
          </c:spPr>
          <c:marker>
            <c:symbol val="none"/>
          </c:marker>
          <c:xVal>
            <c:numRef>
              <c:f>'ИД и расчеты'!$E$235:$E$236</c:f>
              <c:numCache>
                <c:formatCode>0.00</c:formatCode>
                <c:ptCount val="2"/>
                <c:pt idx="0">
                  <c:v>0.92300000000000004</c:v>
                </c:pt>
                <c:pt idx="1">
                  <c:v>1.42</c:v>
                </c:pt>
              </c:numCache>
            </c:numRef>
          </c:xVal>
          <c:yVal>
            <c:numRef>
              <c:f>'ИД и расчеты'!$F$235:$F$236</c:f>
              <c:numCache>
                <c:formatCode>0.00</c:formatCode>
                <c:ptCount val="2"/>
                <c:pt idx="0">
                  <c:v>12.39</c:v>
                </c:pt>
                <c:pt idx="1">
                  <c:v>12.39</c:v>
                </c:pt>
              </c:numCache>
            </c:numRef>
          </c:yVal>
          <c:smooth val="0"/>
        </c:ser>
        <c:ser>
          <c:idx val="15"/>
          <c:order val="15"/>
          <c:tx>
            <c:v>Carnica3</c:v>
          </c:tx>
          <c:spPr>
            <a:ln w="38100">
              <a:solidFill>
                <a:srgbClr val="008000"/>
              </a:solidFill>
              <a:prstDash val="lgDash"/>
            </a:ln>
          </c:spPr>
          <c:marker>
            <c:symbol val="none"/>
          </c:marker>
          <c:xVal>
            <c:numRef>
              <c:f>'ИД и расчеты'!$G$235:$G$236</c:f>
              <c:numCache>
                <c:formatCode>0.00</c:formatCode>
                <c:ptCount val="2"/>
                <c:pt idx="0">
                  <c:v>1.42</c:v>
                </c:pt>
                <c:pt idx="1">
                  <c:v>1.42</c:v>
                </c:pt>
              </c:numCache>
            </c:numRef>
          </c:xVal>
          <c:yVal>
            <c:numRef>
              <c:f>'ИД и расчеты'!$H$235:$H$236</c:f>
              <c:numCache>
                <c:formatCode>0.00</c:formatCode>
                <c:ptCount val="2"/>
                <c:pt idx="0">
                  <c:v>0</c:v>
                </c:pt>
                <c:pt idx="1">
                  <c:v>12.39</c:v>
                </c:pt>
              </c:numCache>
            </c:numRef>
          </c:yVal>
          <c:smooth val="0"/>
        </c:ser>
        <c:ser>
          <c:idx val="16"/>
          <c:order val="16"/>
          <c:tx>
            <c:v>Carnica4</c:v>
          </c:tx>
          <c:spPr>
            <a:ln w="38100">
              <a:solidFill>
                <a:srgbClr val="008000"/>
              </a:solidFill>
              <a:prstDash val="lgDash"/>
            </a:ln>
          </c:spPr>
          <c:marker>
            <c:symbol val="none"/>
          </c:marker>
          <c:xVal>
            <c:numRef>
              <c:f>'ИД и расчеты'!$I$235:$I$236</c:f>
              <c:numCache>
                <c:formatCode>0.00</c:formatCode>
                <c:ptCount val="2"/>
                <c:pt idx="0">
                  <c:v>0.92300000000000004</c:v>
                </c:pt>
                <c:pt idx="1">
                  <c:v>1.42</c:v>
                </c:pt>
              </c:numCache>
            </c:numRef>
          </c:xVal>
          <c:yVal>
            <c:numRef>
              <c:f>'ИД и расчеты'!$J$235:$J$236</c:f>
              <c:numCache>
                <c:formatCode>0.00</c:formatCode>
                <c:ptCount val="2"/>
                <c:pt idx="0">
                  <c:v>0</c:v>
                </c:pt>
                <c:pt idx="1">
                  <c:v>0</c:v>
                </c:pt>
              </c:numCache>
            </c:numRef>
          </c:yVal>
          <c:smooth val="0"/>
        </c:ser>
        <c:ser>
          <c:idx val="17"/>
          <c:order val="17"/>
          <c:tx>
            <c:v>Doverit1</c:v>
          </c:tx>
          <c:spPr>
            <a:ln w="38100">
              <a:solidFill>
                <a:srgbClr val="FF0000"/>
              </a:solidFill>
              <a:prstDash val="solid"/>
            </a:ln>
          </c:spPr>
          <c:marker>
            <c:symbol val="none"/>
          </c:marker>
          <c:xVal>
            <c:numRef>
              <c:f>'ИД и расчеты'!$C$237:$C$238</c:f>
              <c:numCache>
                <c:formatCode>0.00</c:formatCode>
                <c:ptCount val="2"/>
                <c:pt idx="0">
                  <c:v>0.75242070326364108</c:v>
                </c:pt>
                <c:pt idx="1">
                  <c:v>0.75242070326364108</c:v>
                </c:pt>
              </c:numCache>
            </c:numRef>
          </c:xVal>
          <c:yVal>
            <c:numRef>
              <c:f>'ИД и расчеты'!$D$237:$D$238</c:f>
              <c:numCache>
                <c:formatCode>0.00</c:formatCode>
                <c:ptCount val="2"/>
                <c:pt idx="0">
                  <c:v>-6.3381011661234554</c:v>
                </c:pt>
                <c:pt idx="1">
                  <c:v>-1.7634611661234549</c:v>
                </c:pt>
              </c:numCache>
            </c:numRef>
          </c:yVal>
          <c:smooth val="0"/>
        </c:ser>
        <c:ser>
          <c:idx val="18"/>
          <c:order val="18"/>
          <c:tx>
            <c:v>Doverit2</c:v>
          </c:tx>
          <c:spPr>
            <a:ln w="38100">
              <a:solidFill>
                <a:srgbClr val="FF0000"/>
              </a:solidFill>
              <a:prstDash val="solid"/>
            </a:ln>
          </c:spPr>
          <c:marker>
            <c:symbol val="none"/>
          </c:marker>
          <c:xVal>
            <c:numRef>
              <c:f>'ИД и расчеты'!$E$237:$E$238</c:f>
              <c:numCache>
                <c:formatCode>0.00</c:formatCode>
                <c:ptCount val="2"/>
                <c:pt idx="0">
                  <c:v>0.75242070326364108</c:v>
                </c:pt>
                <c:pt idx="1">
                  <c:v>0.93274070326364111</c:v>
                </c:pt>
              </c:numCache>
            </c:numRef>
          </c:xVal>
          <c:yVal>
            <c:numRef>
              <c:f>'ИД и расчеты'!$F$237:$F$238</c:f>
              <c:numCache>
                <c:formatCode>0.00</c:formatCode>
                <c:ptCount val="2"/>
                <c:pt idx="0">
                  <c:v>-1.7634611661234549</c:v>
                </c:pt>
                <c:pt idx="1">
                  <c:v>-1.7634611661234549</c:v>
                </c:pt>
              </c:numCache>
            </c:numRef>
          </c:yVal>
          <c:smooth val="0"/>
        </c:ser>
        <c:ser>
          <c:idx val="19"/>
          <c:order val="19"/>
          <c:tx>
            <c:v>Doverit3</c:v>
          </c:tx>
          <c:spPr>
            <a:ln w="38100">
              <a:solidFill>
                <a:srgbClr val="FF0000"/>
              </a:solidFill>
              <a:prstDash val="solid"/>
            </a:ln>
          </c:spPr>
          <c:marker>
            <c:symbol val="none"/>
          </c:marker>
          <c:xVal>
            <c:numRef>
              <c:f>'ИД и расчеты'!$G$237:$G$238</c:f>
              <c:numCache>
                <c:formatCode>0.00</c:formatCode>
                <c:ptCount val="2"/>
                <c:pt idx="0">
                  <c:v>0.93274070326364111</c:v>
                </c:pt>
                <c:pt idx="1">
                  <c:v>0.93274070326364111</c:v>
                </c:pt>
              </c:numCache>
            </c:numRef>
          </c:xVal>
          <c:yVal>
            <c:numRef>
              <c:f>'ИД и расчеты'!$H$237:$H$238</c:f>
              <c:numCache>
                <c:formatCode>0.00</c:formatCode>
                <c:ptCount val="2"/>
                <c:pt idx="0">
                  <c:v>-6.3381011661234554</c:v>
                </c:pt>
                <c:pt idx="1">
                  <c:v>-1.7634611661234549</c:v>
                </c:pt>
              </c:numCache>
            </c:numRef>
          </c:yVal>
          <c:smooth val="0"/>
        </c:ser>
        <c:ser>
          <c:idx val="20"/>
          <c:order val="20"/>
          <c:tx>
            <c:v>Doverit4</c:v>
          </c:tx>
          <c:spPr>
            <a:ln w="38100">
              <a:solidFill>
                <a:srgbClr val="FF0000"/>
              </a:solidFill>
              <a:prstDash val="solid"/>
            </a:ln>
          </c:spPr>
          <c:marker>
            <c:symbol val="none"/>
          </c:marker>
          <c:xVal>
            <c:numRef>
              <c:f>'ИД и расчеты'!$I$237:$I$238</c:f>
              <c:numCache>
                <c:formatCode>0.00</c:formatCode>
                <c:ptCount val="2"/>
                <c:pt idx="0">
                  <c:v>0.75242070326364108</c:v>
                </c:pt>
                <c:pt idx="1">
                  <c:v>0.93274070326364111</c:v>
                </c:pt>
              </c:numCache>
            </c:numRef>
          </c:xVal>
          <c:yVal>
            <c:numRef>
              <c:f>'ИД и расчеты'!$J$237:$J$238</c:f>
              <c:numCache>
                <c:formatCode>0.00</c:formatCode>
                <c:ptCount val="2"/>
                <c:pt idx="0">
                  <c:v>-6.3381011661234554</c:v>
                </c:pt>
                <c:pt idx="1">
                  <c:v>-6.3381011661234554</c:v>
                </c:pt>
              </c:numCache>
            </c:numRef>
          </c:yVal>
          <c:smooth val="0"/>
        </c:ser>
        <c:dLbls>
          <c:showLegendKey val="0"/>
          <c:showVal val="0"/>
          <c:showCatName val="0"/>
          <c:showSerName val="0"/>
          <c:showPercent val="0"/>
          <c:showBubbleSize val="0"/>
        </c:dLbls>
        <c:axId val="577329976"/>
        <c:axId val="577330368"/>
      </c:scatterChart>
      <c:valAx>
        <c:axId val="577329976"/>
        <c:scaling>
          <c:orientation val="minMax"/>
          <c:max val="1.5"/>
          <c:min val="0.6"/>
        </c:scaling>
        <c:delete val="0"/>
        <c:axPos val="b"/>
        <c:title>
          <c:tx>
            <c:rich>
              <a:bodyPr/>
              <a:lstStyle/>
              <a:p>
                <a:pPr>
                  <a:defRPr sz="900" b="1" i="0" u="none" strike="noStrike" baseline="0">
                    <a:solidFill>
                      <a:srgbClr val="000000"/>
                    </a:solidFill>
                    <a:latin typeface="Arial Cyr"/>
                    <a:ea typeface="Arial Cyr"/>
                    <a:cs typeface="Arial Cyr"/>
                  </a:defRPr>
                </a:pPr>
                <a:r>
                  <a:rPr lang="de-DE"/>
                  <a:t>HI</a:t>
                </a:r>
              </a:p>
            </c:rich>
          </c:tx>
          <c:layout>
            <c:manualLayout>
              <c:xMode val="edge"/>
              <c:yMode val="edge"/>
              <c:x val="0.96011582953840169"/>
              <c:y val="0.5011612793142731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7330368"/>
        <c:crosses val="autoZero"/>
        <c:crossBetween val="midCat"/>
        <c:majorUnit val="0.1"/>
        <c:minorUnit val="0.05"/>
      </c:valAx>
      <c:valAx>
        <c:axId val="577330368"/>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3.7037037037037035E-2"/>
              <c:y val="1.6241349372437434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7329976"/>
        <c:crosses val="autoZero"/>
        <c:crossBetween val="midCat"/>
        <c:majorUnit val="2"/>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2. Распределение </a:t>
            </a:r>
            <a:r>
              <a:rPr lang="en-US"/>
              <a:t>DsA / CI</a:t>
            </a:r>
          </a:p>
        </c:rich>
      </c:tx>
      <c:layout>
        <c:manualLayout>
          <c:xMode val="edge"/>
          <c:yMode val="edge"/>
          <c:x val="0.34330559743861799"/>
          <c:y val="1.6241098447780069E-2"/>
        </c:manualLayout>
      </c:layout>
      <c:overlay val="0"/>
      <c:spPr>
        <a:noFill/>
        <a:ln w="25400">
          <a:noFill/>
        </a:ln>
      </c:spPr>
    </c:title>
    <c:autoTitleDeleted val="0"/>
    <c:plotArea>
      <c:layout>
        <c:manualLayout>
          <c:layoutTarget val="inner"/>
          <c:xMode val="edge"/>
          <c:yMode val="edge"/>
          <c:x val="5.2706653522926396E-2"/>
          <c:y val="9.7448044221853589E-2"/>
          <c:w val="0.88461707669560241"/>
          <c:h val="0.86311124882213186"/>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1.2626070135193432</c:v>
                </c:pt>
                <c:pt idx="1">
                  <c:v>1.4110486900645089</c:v>
                </c:pt>
                <c:pt idx="2">
                  <c:v>1.3970928948001387</c:v>
                </c:pt>
                <c:pt idx="3">
                  <c:v>1.5152208616653291</c:v>
                </c:pt>
                <c:pt idx="4">
                  <c:v>1.8090879062408518</c:v>
                </c:pt>
                <c:pt idx="5">
                  <c:v>1.4082701577665713</c:v>
                </c:pt>
                <c:pt idx="6">
                  <c:v>1.434152613613296</c:v>
                </c:pt>
                <c:pt idx="7">
                  <c:v>1.457615984110074</c:v>
                </c:pt>
                <c:pt idx="8">
                  <c:v>1.3886551296096701</c:v>
                </c:pt>
                <c:pt idx="9">
                  <c:v>1.5121630858581008</c:v>
                </c:pt>
                <c:pt idx="10">
                  <c:v>1.4282115105923434</c:v>
                </c:pt>
                <c:pt idx="11">
                  <c:v>1.4867666423160466</c:v>
                </c:pt>
                <c:pt idx="12">
                  <c:v>1.4243093464185492</c:v>
                </c:pt>
                <c:pt idx="13">
                  <c:v>1.6170842575913029</c:v>
                </c:pt>
                <c:pt idx="14">
                  <c:v>1.5963541551080593</c:v>
                </c:pt>
                <c:pt idx="15">
                  <c:v>1.4964911953946169</c:v>
                </c:pt>
                <c:pt idx="16">
                  <c:v>1.5213083464463475</c:v>
                </c:pt>
                <c:pt idx="17">
                  <c:v>1.3651878800254351</c:v>
                </c:pt>
                <c:pt idx="18">
                  <c:v>1.4202825916269763</c:v>
                </c:pt>
                <c:pt idx="19">
                  <c:v>1.3981872933510322</c:v>
                </c:pt>
                <c:pt idx="20">
                  <c:v>1.3397511506515163</c:v>
                </c:pt>
                <c:pt idx="21">
                  <c:v>1.3991932779235556</c:v>
                </c:pt>
                <c:pt idx="22">
                  <c:v>1.4383727883864668</c:v>
                </c:pt>
                <c:pt idx="23">
                  <c:v>1.4613188834353577</c:v>
                </c:pt>
                <c:pt idx="24">
                  <c:v>1.5122216033726252</c:v>
                </c:pt>
                <c:pt idx="25">
                  <c:v>1.1265890995242667</c:v>
                </c:pt>
                <c:pt idx="26">
                  <c:v>1.3395313136677256</c:v>
                </c:pt>
                <c:pt idx="27">
                  <c:v>1.3507880663566374</c:v>
                </c:pt>
                <c:pt idx="28">
                  <c:v>1.4159465909295745</c:v>
                </c:pt>
                <c:pt idx="29">
                  <c:v>1.2625144360472995</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1.4332108255471205</c:v>
                </c:pt>
              </c:numCache>
            </c:numRef>
          </c:xVal>
          <c:yVal>
            <c:numRef>
              <c:f>Индексы!$C$2:$C$102</c:f>
              <c:numCache>
                <c:formatCode>0.000</c:formatCode>
                <c:ptCount val="101"/>
                <c:pt idx="0">
                  <c:v>-2.6684626069025401</c:v>
                </c:pt>
                <c:pt idx="1">
                  <c:v>-4.9316434441713071</c:v>
                </c:pt>
                <c:pt idx="2">
                  <c:v>-4.8083127926878433</c:v>
                </c:pt>
                <c:pt idx="3">
                  <c:v>-3.7636542221458091</c:v>
                </c:pt>
                <c:pt idx="4">
                  <c:v>-4.6579397829616793</c:v>
                </c:pt>
                <c:pt idx="5">
                  <c:v>-3.8726624621959367</c:v>
                </c:pt>
                <c:pt idx="6">
                  <c:v>-2.886617787206224</c:v>
                </c:pt>
                <c:pt idx="7">
                  <c:v>-4.8886031145664619</c:v>
                </c:pt>
                <c:pt idx="8">
                  <c:v>-4.852979111591269</c:v>
                </c:pt>
                <c:pt idx="9">
                  <c:v>-4.9864935974229718</c:v>
                </c:pt>
                <c:pt idx="10">
                  <c:v>-1.8884006427466298</c:v>
                </c:pt>
                <c:pt idx="11">
                  <c:v>-3.8855214414860804</c:v>
                </c:pt>
                <c:pt idx="12">
                  <c:v>-6.0150370787342728</c:v>
                </c:pt>
                <c:pt idx="13">
                  <c:v>-4.9263530812072149</c:v>
                </c:pt>
                <c:pt idx="14">
                  <c:v>-3.6106317132264709</c:v>
                </c:pt>
                <c:pt idx="15">
                  <c:v>-2.9216155333568046</c:v>
                </c:pt>
                <c:pt idx="16">
                  <c:v>-4.3103198810945917</c:v>
                </c:pt>
                <c:pt idx="17">
                  <c:v>-4.6048660800736227</c:v>
                </c:pt>
                <c:pt idx="18">
                  <c:v>-3.4567376821430971</c:v>
                </c:pt>
                <c:pt idx="19">
                  <c:v>-3.5408610476124687</c:v>
                </c:pt>
                <c:pt idx="20">
                  <c:v>-4.4542031351921905</c:v>
                </c:pt>
                <c:pt idx="21">
                  <c:v>-3.2562577411400477</c:v>
                </c:pt>
                <c:pt idx="22">
                  <c:v>-3.9252765242877001</c:v>
                </c:pt>
                <c:pt idx="23">
                  <c:v>-2.0638502119792119</c:v>
                </c:pt>
                <c:pt idx="24">
                  <c:v>-4.5573537713311199</c:v>
                </c:pt>
                <c:pt idx="25">
                  <c:v>-6.6836737105143449</c:v>
                </c:pt>
                <c:pt idx="26">
                  <c:v>-2.4694710723225199</c:v>
                </c:pt>
                <c:pt idx="27">
                  <c:v>-3.3210731431633951</c:v>
                </c:pt>
                <c:pt idx="28">
                  <c:v>-6.1821925596978904</c:v>
                </c:pt>
                <c:pt idx="29">
                  <c:v>-3.1323700105419423</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-4.0507811661234552</c:v>
                </c:pt>
              </c:numCache>
            </c:numRef>
          </c:yVal>
          <c:smooth val="0"/>
        </c:ser>
        <c:ser>
          <c:idx val="1"/>
          <c:order val="1"/>
          <c:tx>
            <c:v>Mellifera1</c:v>
          </c:tx>
          <c:spPr>
            <a:ln w="38100">
              <a:solidFill>
                <a:srgbClr val="0000FF"/>
              </a:solidFill>
              <a:prstDash val="lgDash"/>
            </a:ln>
          </c:spPr>
          <c:marker>
            <c:symbol val="none"/>
          </c:marker>
          <c:xVal>
            <c:numRef>
              <c:f>'ИД и расчеты'!$C$209:$C$210</c:f>
              <c:numCache>
                <c:formatCode>0.00</c:formatCode>
                <c:ptCount val="2"/>
                <c:pt idx="0">
                  <c:v>0.76</c:v>
                </c:pt>
                <c:pt idx="1">
                  <c:v>0.76</c:v>
                </c:pt>
              </c:numCache>
            </c:numRef>
          </c:xVal>
          <c:yVal>
            <c:numRef>
              <c:f>'ИД и расчеты'!$D$209:$D$210</c:f>
              <c:numCache>
                <c:formatCode>0.00</c:formatCode>
                <c:ptCount val="2"/>
                <c:pt idx="0">
                  <c:v>-15.31</c:v>
                </c:pt>
                <c:pt idx="1">
                  <c:v>0</c:v>
                </c:pt>
              </c:numCache>
            </c:numRef>
          </c:yVal>
          <c:smooth val="0"/>
        </c:ser>
        <c:ser>
          <c:idx val="2"/>
          <c:order val="2"/>
          <c:tx>
            <c:v>Mellifera2</c:v>
          </c:tx>
          <c:spPr>
            <a:ln w="38100">
              <a:solidFill>
                <a:srgbClr val="3366FF"/>
              </a:solidFill>
              <a:prstDash val="lgDash"/>
            </a:ln>
          </c:spPr>
          <c:marker>
            <c:symbol val="none"/>
          </c:marker>
          <c:xVal>
            <c:numRef>
              <c:f>'ИД и расчеты'!$E$209:$E$210</c:f>
              <c:numCache>
                <c:formatCode>0.00</c:formatCode>
                <c:ptCount val="2"/>
                <c:pt idx="0">
                  <c:v>0.76</c:v>
                </c:pt>
                <c:pt idx="1">
                  <c:v>2.16</c:v>
                </c:pt>
              </c:numCache>
            </c:numRef>
          </c:xVal>
          <c:yVal>
            <c:numRef>
              <c:f>'ИД и расчеты'!$F$209:$F$210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trendline>
            <c:spPr>
              <a:ln w="25400">
                <a:solidFill>
                  <a:srgbClr val="000000"/>
                </a:solidFill>
                <a:prstDash val="solid"/>
              </a:ln>
            </c:spPr>
            <c:trendlineType val="linear"/>
            <c:dispRSqr val="0"/>
            <c:dispEq val="0"/>
          </c:trendline>
          <c:xVal>
            <c:numRef>
              <c:f>'ИД и расчеты'!$G$209:$G$210</c:f>
              <c:numCache>
                <c:formatCode>0.00</c:formatCode>
                <c:ptCount val="2"/>
                <c:pt idx="0">
                  <c:v>2.16</c:v>
                </c:pt>
                <c:pt idx="1">
                  <c:v>2.16</c:v>
                </c:pt>
              </c:numCache>
            </c:numRef>
          </c:xVal>
          <c:yVal>
            <c:numRef>
              <c:f>'ИД и расчеты'!$H$209:$H$210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расчеты'!$I$209:$I$210</c:f>
              <c:numCache>
                <c:formatCode>0.00</c:formatCode>
                <c:ptCount val="2"/>
                <c:pt idx="0">
                  <c:v>0.76</c:v>
                </c:pt>
                <c:pt idx="1">
                  <c:v>2.16</c:v>
                </c:pt>
              </c:numCache>
            </c:numRef>
          </c:xVal>
          <c:yVal>
            <c:numRef>
              <c:f>'ИД и расчеты'!$J$209:$J$210</c:f>
              <c:numCache>
                <c:formatCode>0.00</c:formatCode>
                <c:ptCount val="2"/>
                <c:pt idx="0">
                  <c:v>-15.31</c:v>
                </c:pt>
                <c:pt idx="1">
                  <c:v>-15.31</c:v>
                </c:pt>
              </c:numCache>
            </c:numRef>
          </c:yVal>
          <c:smooth val="0"/>
        </c:ser>
        <c:ser>
          <c:idx val="5"/>
          <c:order val="5"/>
          <c:tx>
            <c:v>Caucasika1</c:v>
          </c:tx>
          <c:spPr>
            <a:ln w="38100">
              <a:solidFill>
                <a:srgbClr val="993300"/>
              </a:solidFill>
              <a:prstDash val="lgDash"/>
            </a:ln>
          </c:spPr>
          <c:marker>
            <c:symbol val="none"/>
          </c:marker>
          <c:xVal>
            <c:numRef>
              <c:f>'ИД и расчеты'!$C$211:$C$212</c:f>
              <c:numCache>
                <c:formatCode>0.00</c:formatCode>
                <c:ptCount val="2"/>
                <c:pt idx="0">
                  <c:v>1.73</c:v>
                </c:pt>
                <c:pt idx="1">
                  <c:v>1.73</c:v>
                </c:pt>
              </c:numCache>
            </c:numRef>
          </c:xVal>
          <c:yVal>
            <c:numRef>
              <c:f>'ИД и расчеты'!$D$211:$D$212</c:f>
              <c:numCache>
                <c:formatCode>0.00</c:formatCode>
                <c:ptCount val="2"/>
                <c:pt idx="0">
                  <c:v>-2.84</c:v>
                </c:pt>
                <c:pt idx="1">
                  <c:v>2.84</c:v>
                </c:pt>
              </c:numCache>
            </c:numRef>
          </c:yVal>
          <c:smooth val="0"/>
        </c:ser>
        <c:ser>
          <c:idx val="6"/>
          <c:order val="6"/>
          <c:tx>
            <c:v>Caucasika2</c:v>
          </c:tx>
          <c:spPr>
            <a:ln w="38100">
              <a:solidFill>
                <a:srgbClr val="993300"/>
              </a:solidFill>
              <a:prstDash val="lgDash"/>
            </a:ln>
          </c:spPr>
          <c:marker>
            <c:symbol val="none"/>
          </c:marker>
          <c:xVal>
            <c:numRef>
              <c:f>'ИД и расчеты'!$E$211:$E$212</c:f>
              <c:numCache>
                <c:formatCode>0.00</c:formatCode>
                <c:ptCount val="2"/>
                <c:pt idx="0">
                  <c:v>1.73</c:v>
                </c:pt>
                <c:pt idx="1">
                  <c:v>2.75</c:v>
                </c:pt>
              </c:numCache>
            </c:numRef>
          </c:xVal>
          <c:yVal>
            <c:numRef>
              <c:f>'ИД и расчеты'!$F$211:$F$212</c:f>
              <c:numCache>
                <c:formatCode>0.00</c:formatCode>
                <c:ptCount val="2"/>
                <c:pt idx="0">
                  <c:v>2.84</c:v>
                </c:pt>
                <c:pt idx="1">
                  <c:v>2.84</c:v>
                </c:pt>
              </c:numCache>
            </c:numRef>
          </c:yVal>
          <c:smooth val="0"/>
        </c:ser>
        <c:ser>
          <c:idx val="7"/>
          <c:order val="7"/>
          <c:tx>
            <c:v>Caucasika3</c:v>
          </c:tx>
          <c:spPr>
            <a:ln w="38100">
              <a:solidFill>
                <a:srgbClr val="993300"/>
              </a:solidFill>
              <a:prstDash val="lgDash"/>
            </a:ln>
          </c:spPr>
          <c:marker>
            <c:symbol val="none"/>
          </c:marker>
          <c:xVal>
            <c:numRef>
              <c:f>'ИД и расчеты'!$G$211:$G$212</c:f>
              <c:numCache>
                <c:formatCode>0.00</c:formatCode>
                <c:ptCount val="2"/>
                <c:pt idx="0">
                  <c:v>2.75</c:v>
                </c:pt>
                <c:pt idx="1">
                  <c:v>2.75</c:v>
                </c:pt>
              </c:numCache>
            </c:numRef>
          </c:xVal>
          <c:yVal>
            <c:numRef>
              <c:f>'ИД и расчеты'!$H$211:$H$212</c:f>
              <c:numCache>
                <c:formatCode>0.00</c:formatCode>
                <c:ptCount val="2"/>
                <c:pt idx="0">
                  <c:v>-2.84</c:v>
                </c:pt>
                <c:pt idx="1">
                  <c:v>2.84</c:v>
                </c:pt>
              </c:numCache>
            </c:numRef>
          </c:yVal>
          <c:smooth val="0"/>
        </c:ser>
        <c:ser>
          <c:idx val="8"/>
          <c:order val="8"/>
          <c:tx>
            <c:v>Caucasika4</c:v>
          </c:tx>
          <c:spPr>
            <a:ln w="38100">
              <a:solidFill>
                <a:srgbClr val="993300"/>
              </a:solidFill>
              <a:prstDash val="lgDash"/>
            </a:ln>
          </c:spPr>
          <c:marker>
            <c:symbol val="none"/>
          </c:marker>
          <c:xVal>
            <c:numRef>
              <c:f>'ИД и расчеты'!$I$211:$I$212</c:f>
              <c:numCache>
                <c:formatCode>0.00</c:formatCode>
                <c:ptCount val="2"/>
                <c:pt idx="0">
                  <c:v>1.73</c:v>
                </c:pt>
                <c:pt idx="1">
                  <c:v>2.75</c:v>
                </c:pt>
              </c:numCache>
            </c:numRef>
          </c:xVal>
          <c:yVal>
            <c:numRef>
              <c:f>'ИД и расчеты'!$J$211:$J$212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расчеты'!$C$213:$C$214</c:f>
              <c:numCache>
                <c:formatCode>0.00</c:formatCode>
                <c:ptCount val="2"/>
                <c:pt idx="0">
                  <c:v>2</c:v>
                </c:pt>
                <c:pt idx="1">
                  <c:v>2</c:v>
                </c:pt>
              </c:numCache>
            </c:numRef>
          </c:xVal>
          <c:yVal>
            <c:numRef>
              <c:f>'ИД и расчеты'!$D$213:$D$214</c:f>
              <c:numCache>
                <c:formatCode>0.00</c:formatCode>
                <c:ptCount val="2"/>
                <c:pt idx="0">
                  <c:v>0</c:v>
                </c:pt>
                <c:pt idx="1">
                  <c:v>4.7300000000000004</c:v>
                </c:pt>
              </c:numCache>
            </c:numRef>
          </c:yVal>
          <c:smooth val="0"/>
        </c:ser>
        <c:ser>
          <c:idx val="11"/>
          <c:order val="10"/>
          <c:tx>
            <c:v>Ligustica2</c:v>
          </c:tx>
          <c:spPr>
            <a:ln w="38100">
              <a:solidFill>
                <a:srgbClr val="FFCC00"/>
              </a:solidFill>
              <a:prstDash val="lgDash"/>
            </a:ln>
          </c:spPr>
          <c:marker>
            <c:symbol val="none"/>
          </c:marker>
          <c:xVal>
            <c:numRef>
              <c:f>'ИД и расчеты'!$E$213:$E$214</c:f>
              <c:numCache>
                <c:formatCode>0.00</c:formatCode>
                <c:ptCount val="2"/>
                <c:pt idx="0">
                  <c:v>2</c:v>
                </c:pt>
                <c:pt idx="1">
                  <c:v>3.29</c:v>
                </c:pt>
              </c:numCache>
            </c:numRef>
          </c:xVal>
          <c:yVal>
            <c:numRef>
              <c:f>'ИД и расчеты'!$F$213:$F$214</c:f>
              <c:numCache>
                <c:formatCode>0.00</c:formatCode>
                <c:ptCount val="2"/>
                <c:pt idx="0">
                  <c:v>4.7300000000000004</c:v>
                </c:pt>
                <c:pt idx="1">
                  <c:v>4.7300000000000004</c:v>
                </c:pt>
              </c:numCache>
            </c:numRef>
          </c:yVal>
          <c:smooth val="0"/>
        </c:ser>
        <c:ser>
          <c:idx val="12"/>
          <c:order val="11"/>
          <c:tx>
            <c:v>Ligustica3</c:v>
          </c:tx>
          <c:spPr>
            <a:ln w="38100">
              <a:solidFill>
                <a:srgbClr val="FFCC00"/>
              </a:solidFill>
              <a:prstDash val="lgDash"/>
            </a:ln>
          </c:spPr>
          <c:marker>
            <c:symbol val="none"/>
          </c:marker>
          <c:xVal>
            <c:numRef>
              <c:f>'ИД и расчеты'!$G$213:$G$214</c:f>
              <c:numCache>
                <c:formatCode>0.00</c:formatCode>
                <c:ptCount val="2"/>
                <c:pt idx="0">
                  <c:v>3.29</c:v>
                </c:pt>
                <c:pt idx="1">
                  <c:v>3.29</c:v>
                </c:pt>
              </c:numCache>
            </c:numRef>
          </c:xVal>
          <c:yVal>
            <c:numRef>
              <c:f>'ИД и расчеты'!$H$213:$H$214</c:f>
              <c:numCache>
                <c:formatCode>0.00</c:formatCode>
                <c:ptCount val="2"/>
                <c:pt idx="0">
                  <c:v>0</c:v>
                </c:pt>
                <c:pt idx="1">
                  <c:v>4.7300000000000004</c:v>
                </c:pt>
              </c:numCache>
            </c:numRef>
          </c:yVal>
          <c:smooth val="0"/>
        </c:ser>
        <c:ser>
          <c:idx val="13"/>
          <c:order val="12"/>
          <c:tx>
            <c:v>Ligustica4</c:v>
          </c:tx>
          <c:spPr>
            <a:ln w="38100">
              <a:solidFill>
                <a:srgbClr val="FFCC00"/>
              </a:solidFill>
              <a:prstDash val="lgDash"/>
            </a:ln>
          </c:spPr>
          <c:marker>
            <c:symbol val="none"/>
          </c:marker>
          <c:xVal>
            <c:numRef>
              <c:f>'ИД и расчеты'!$I$213:$I$214</c:f>
              <c:numCache>
                <c:formatCode>0.00</c:formatCode>
                <c:ptCount val="2"/>
                <c:pt idx="0">
                  <c:v>2</c:v>
                </c:pt>
                <c:pt idx="1">
                  <c:v>3.29</c:v>
                </c:pt>
              </c:numCache>
            </c:numRef>
          </c:xVal>
          <c:yVal>
            <c:numRef>
              <c:f>'ИД и расчеты'!$J$213:$J$214</c:f>
              <c:numCache>
                <c:formatCode>0.00</c:formatCode>
                <c:ptCount val="2"/>
                <c:pt idx="0">
                  <c:v>0</c:v>
                </c:pt>
                <c:pt idx="1">
                  <c:v>0</c:v>
                </c:pt>
              </c:numCache>
            </c:numRef>
          </c:yVal>
          <c:smooth val="0"/>
        </c:ser>
        <c:ser>
          <c:idx val="14"/>
          <c:order val="13"/>
          <c:tx>
            <c:v>Carnica1</c:v>
          </c:tx>
          <c:spPr>
            <a:ln w="38100">
              <a:solidFill>
                <a:srgbClr val="008000"/>
              </a:solidFill>
              <a:prstDash val="lgDash"/>
            </a:ln>
          </c:spPr>
          <c:marker>
            <c:symbol val="circle"/>
            <c:size val="5"/>
            <c:spPr>
              <a:noFill/>
              <a:ln w="6350">
                <a:noFill/>
              </a:ln>
            </c:spPr>
          </c:marker>
          <c:xVal>
            <c:numRef>
              <c:f>'ИД и расчеты'!$C$215:$C$216</c:f>
              <c:numCache>
                <c:formatCode>0.00</c:formatCode>
                <c:ptCount val="2"/>
                <c:pt idx="0">
                  <c:v>2.16</c:v>
                </c:pt>
                <c:pt idx="1">
                  <c:v>2.16</c:v>
                </c:pt>
              </c:numCache>
            </c:numRef>
          </c:xVal>
          <c:yVal>
            <c:numRef>
              <c:f>'ИД и расчеты'!$D$215:$D$216</c:f>
              <c:numCache>
                <c:formatCode>0.00</c:formatCode>
                <c:ptCount val="2"/>
                <c:pt idx="0">
                  <c:v>0</c:v>
                </c:pt>
                <c:pt idx="1">
                  <c:v>12.39</c:v>
                </c:pt>
              </c:numCache>
            </c:numRef>
          </c:yVal>
          <c:smooth val="0"/>
        </c:ser>
        <c:ser>
          <c:idx val="15"/>
          <c:order val="14"/>
          <c:tx>
            <c:v>Carnica2</c:v>
          </c:tx>
          <c:spPr>
            <a:ln w="38100">
              <a:solidFill>
                <a:srgbClr val="008000"/>
              </a:solidFill>
              <a:prstDash val="lgDash"/>
            </a:ln>
          </c:spPr>
          <c:marker>
            <c:symbol val="plus"/>
            <c:size val="9"/>
            <c:spPr>
              <a:noFill/>
              <a:ln w="6350">
                <a:noFill/>
              </a:ln>
            </c:spPr>
          </c:marker>
          <c:xVal>
            <c:numRef>
              <c:f>'ИД и расчеты'!$E$215:$E$216</c:f>
              <c:numCache>
                <c:formatCode>0.00</c:formatCode>
                <c:ptCount val="2"/>
                <c:pt idx="0">
                  <c:v>2.16</c:v>
                </c:pt>
                <c:pt idx="1">
                  <c:v>5.67</c:v>
                </c:pt>
              </c:numCache>
            </c:numRef>
          </c:xVal>
          <c:yVal>
            <c:numRef>
              <c:f>'ИД и расчеты'!$F$215:$F$216</c:f>
              <c:numCache>
                <c:formatCode>0.00</c:formatCode>
                <c:ptCount val="2"/>
                <c:pt idx="0">
                  <c:v>12.39</c:v>
                </c:pt>
                <c:pt idx="1">
                  <c:v>12.39</c:v>
                </c:pt>
              </c:numCache>
            </c:numRef>
          </c:yVal>
          <c:smooth val="0"/>
        </c:ser>
        <c:ser>
          <c:idx val="16"/>
          <c:order val="15"/>
          <c:tx>
            <c:v>Carnica3</c:v>
          </c:tx>
          <c:spPr>
            <a:ln w="38100">
              <a:solidFill>
                <a:srgbClr val="008000"/>
              </a:solidFill>
              <a:prstDash val="lgDash"/>
            </a:ln>
          </c:spPr>
          <c:marker>
            <c:symbol val="dot"/>
            <c:size val="9"/>
            <c:spPr>
              <a:noFill/>
              <a:ln w="6350">
                <a:noFill/>
              </a:ln>
            </c:spPr>
          </c:marker>
          <c:xVal>
            <c:numRef>
              <c:f>'ИД и расчеты'!$G$215:$G$216</c:f>
              <c:numCache>
                <c:formatCode>0.00</c:formatCode>
                <c:ptCount val="2"/>
                <c:pt idx="0">
                  <c:v>5.67</c:v>
                </c:pt>
                <c:pt idx="1">
                  <c:v>5.67</c:v>
                </c:pt>
              </c:numCache>
            </c:numRef>
          </c:xVal>
          <c:yVal>
            <c:numRef>
              <c:f>'ИД и расчеты'!$H$215:$H$216</c:f>
              <c:numCache>
                <c:formatCode>0.00</c:formatCode>
                <c:ptCount val="2"/>
                <c:pt idx="0">
                  <c:v>0</c:v>
                </c:pt>
                <c:pt idx="1">
                  <c:v>12.39</c:v>
                </c:pt>
              </c:numCache>
            </c:numRef>
          </c:yVal>
          <c:smooth val="0"/>
        </c:ser>
        <c:ser>
          <c:idx val="17"/>
          <c:order val="16"/>
          <c:tx>
            <c:v>Carnica4</c:v>
          </c:tx>
          <c:spPr>
            <a:ln w="38100">
              <a:solidFill>
                <a:srgbClr val="008000"/>
              </a:solidFill>
              <a:prstDash val="lgDash"/>
            </a:ln>
          </c:spPr>
          <c:marker>
            <c:symbol val="dash"/>
            <c:size val="9"/>
            <c:spPr>
              <a:noFill/>
              <a:ln w="6350">
                <a:noFill/>
              </a:ln>
            </c:spPr>
          </c:marker>
          <c:xVal>
            <c:numRef>
              <c:f>'ИД и расчеты'!$I$215:$I$216</c:f>
              <c:numCache>
                <c:formatCode>0.00</c:formatCode>
                <c:ptCount val="2"/>
                <c:pt idx="0">
                  <c:v>2.16</c:v>
                </c:pt>
                <c:pt idx="1">
                  <c:v>5.67</c:v>
                </c:pt>
              </c:numCache>
            </c:numRef>
          </c:xVal>
          <c:yVal>
            <c:numRef>
              <c:f>'ИД и расчеты'!$J$215:$J$216</c:f>
              <c:numCache>
                <c:formatCode>0.00</c:formatCode>
                <c:ptCount val="2"/>
                <c:pt idx="0">
                  <c:v>0</c:v>
                </c:pt>
                <c:pt idx="1">
                  <c:v>0</c:v>
                </c:pt>
              </c:numCache>
            </c:numRef>
          </c:yVal>
          <c:smooth val="0"/>
        </c:ser>
        <c:ser>
          <c:idx val="18"/>
          <c:order val="17"/>
          <c:tx>
            <c:v>Doverit1</c:v>
          </c:tx>
          <c:spPr>
            <a:ln w="38100">
              <a:solidFill>
                <a:srgbClr val="FF0000"/>
              </a:solidFill>
              <a:prstDash val="solid"/>
            </a:ln>
          </c:spPr>
          <c:marker>
            <c:symbol val="diamond"/>
            <c:size val="9"/>
            <c:spPr>
              <a:noFill/>
              <a:ln w="6350">
                <a:noFill/>
              </a:ln>
            </c:spPr>
          </c:marker>
          <c:xVal>
            <c:numRef>
              <c:f>'ИД и расчеты'!$C$217:$C$218</c:f>
              <c:numCache>
                <c:formatCode>0.00</c:formatCode>
                <c:ptCount val="2"/>
                <c:pt idx="0">
                  <c:v>1.1960508255471205</c:v>
                </c:pt>
                <c:pt idx="1">
                  <c:v>1.1960508255471205</c:v>
                </c:pt>
              </c:numCache>
            </c:numRef>
          </c:xVal>
          <c:yVal>
            <c:numRef>
              <c:f>'ИД и расчеты'!$D$217:$D$218</c:f>
              <c:numCache>
                <c:formatCode>0.00</c:formatCode>
                <c:ptCount val="2"/>
                <c:pt idx="0">
                  <c:v>-6.3381011661234554</c:v>
                </c:pt>
                <c:pt idx="1">
                  <c:v>-1.7634611661234549</c:v>
                </c:pt>
              </c:numCache>
            </c:numRef>
          </c:yVal>
          <c:smooth val="0"/>
        </c:ser>
        <c:ser>
          <c:idx val="19"/>
          <c:order val="18"/>
          <c:tx>
            <c:v>Doverit2</c:v>
          </c:tx>
          <c:spPr>
            <a:ln w="38100">
              <a:solidFill>
                <a:srgbClr val="FF0000"/>
              </a:solidFill>
              <a:prstDash val="solid"/>
            </a:ln>
          </c:spPr>
          <c:marker>
            <c:symbol val="none"/>
          </c:marker>
          <c:xVal>
            <c:numRef>
              <c:f>'ИД и расчеты'!$E$217:$E$218</c:f>
              <c:numCache>
                <c:formatCode>0.00</c:formatCode>
                <c:ptCount val="2"/>
                <c:pt idx="0">
                  <c:v>1.1960508255471205</c:v>
                </c:pt>
                <c:pt idx="1">
                  <c:v>1.6703708255471206</c:v>
                </c:pt>
              </c:numCache>
            </c:numRef>
          </c:xVal>
          <c:yVal>
            <c:numRef>
              <c:f>'ИД и расчеты'!$F$217:$F$218</c:f>
              <c:numCache>
                <c:formatCode>0.00</c:formatCode>
                <c:ptCount val="2"/>
                <c:pt idx="0">
                  <c:v>-1.7634611661234549</c:v>
                </c:pt>
                <c:pt idx="1">
                  <c:v>-1.7634611661234549</c:v>
                </c:pt>
              </c:numCache>
            </c:numRef>
          </c:yVal>
          <c:smooth val="0"/>
        </c:ser>
        <c:ser>
          <c:idx val="20"/>
          <c:order val="19"/>
          <c:tx>
            <c:v>Doverit3</c:v>
          </c:tx>
          <c:spPr>
            <a:ln w="38100">
              <a:solidFill>
                <a:srgbClr val="FF0000"/>
              </a:solidFill>
              <a:prstDash val="solid"/>
            </a:ln>
          </c:spPr>
          <c:marker>
            <c:symbol val="triangle"/>
            <c:size val="9"/>
            <c:spPr>
              <a:noFill/>
              <a:ln w="6350">
                <a:noFill/>
              </a:ln>
            </c:spPr>
          </c:marker>
          <c:xVal>
            <c:numRef>
              <c:f>'ИД и расчеты'!$G$217:$G$218</c:f>
              <c:numCache>
                <c:formatCode>0.00</c:formatCode>
                <c:ptCount val="2"/>
                <c:pt idx="0">
                  <c:v>1.6703708255471206</c:v>
                </c:pt>
                <c:pt idx="1">
                  <c:v>1.6703708255471206</c:v>
                </c:pt>
              </c:numCache>
            </c:numRef>
          </c:xVal>
          <c:yVal>
            <c:numRef>
              <c:f>'ИД и расчеты'!$H$217:$H$218</c:f>
              <c:numCache>
                <c:formatCode>0.00</c:formatCode>
                <c:ptCount val="2"/>
                <c:pt idx="0">
                  <c:v>-6.3381011661234554</c:v>
                </c:pt>
                <c:pt idx="1">
                  <c:v>-1.7634611661234549</c:v>
                </c:pt>
              </c:numCache>
            </c:numRef>
          </c:yVal>
          <c:smooth val="0"/>
        </c:ser>
        <c:ser>
          <c:idx val="21"/>
          <c:order val="20"/>
          <c:tx>
            <c:v>Doverit4</c:v>
          </c:tx>
          <c:spPr>
            <a:ln w="38100">
              <a:solidFill>
                <a:srgbClr val="FF0000"/>
              </a:solidFill>
              <a:prstDash val="solid"/>
            </a:ln>
          </c:spPr>
          <c:marker>
            <c:symbol val="x"/>
            <c:size val="9"/>
            <c:spPr>
              <a:noFill/>
              <a:ln w="6350">
                <a:noFill/>
              </a:ln>
            </c:spPr>
          </c:marker>
          <c:xVal>
            <c:numRef>
              <c:f>'ИД и расчеты'!$I$217:$I$218</c:f>
              <c:numCache>
                <c:formatCode>0.00</c:formatCode>
                <c:ptCount val="2"/>
                <c:pt idx="0">
                  <c:v>1.1960508255471205</c:v>
                </c:pt>
                <c:pt idx="1">
                  <c:v>1.6703708255471206</c:v>
                </c:pt>
              </c:numCache>
            </c:numRef>
          </c:xVal>
          <c:yVal>
            <c:numRef>
              <c:f>'ИД и расчеты'!$J$217:$J$218</c:f>
              <c:numCache>
                <c:formatCode>0.00</c:formatCode>
                <c:ptCount val="2"/>
                <c:pt idx="0">
                  <c:v>-6.3381011661234554</c:v>
                </c:pt>
                <c:pt idx="1">
                  <c:v>-6.3381011661234554</c:v>
                </c:pt>
              </c:numCache>
            </c:numRef>
          </c:yVal>
          <c:smooth val="0"/>
        </c:ser>
        <c:dLbls>
          <c:showLegendKey val="0"/>
          <c:showVal val="0"/>
          <c:showCatName val="0"/>
          <c:showSerName val="0"/>
          <c:showPercent val="0"/>
          <c:showBubbleSize val="0"/>
        </c:dLbls>
        <c:axId val="577332720"/>
        <c:axId val="577333112"/>
      </c:scatterChart>
      <c:valAx>
        <c:axId val="577332720"/>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5441782543139564"/>
              <c:y val="0.4942008802436980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7333112"/>
        <c:crosses val="autoZero"/>
        <c:crossBetween val="midCat"/>
        <c:majorUnit val="0.5"/>
      </c:valAx>
      <c:valAx>
        <c:axId val="577333112"/>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2.8489975987044169E-2"/>
              <c:y val="1.6241098447780069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7332720"/>
        <c:crosses val="autoZero"/>
        <c:crossBetween val="midCat"/>
        <c:majorUnit val="2"/>
        <c:minorUnit val="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ru-RU" sz="1000" b="1" i="0" u="none" strike="noStrike" kern="1200" spc="0" baseline="0">
                <a:solidFill>
                  <a:schemeClr val="tx1"/>
                </a:solidFill>
                <a:latin typeface="Arial Cyr"/>
                <a:ea typeface="Arial Cyr"/>
                <a:cs typeface="Arial Cyr"/>
              </a:defRPr>
            </a:pPr>
            <a:r>
              <a:rPr lang="ru-RU" sz="1000" b="1" i="0" u="none" strike="noStrike" kern="1200" baseline="0">
                <a:solidFill>
                  <a:schemeClr val="tx1"/>
                </a:solidFill>
                <a:latin typeface="Arial Cyr"/>
                <a:ea typeface="Arial Cyr"/>
                <a:cs typeface="Arial Cyr"/>
              </a:rPr>
              <a:t>1. Фактическое (по исследованным пчелам) и прогнозное распределение пчел по породам</a:t>
            </a:r>
          </a:p>
        </c:rich>
      </c:tx>
      <c:overlay val="0"/>
      <c:spPr>
        <a:noFill/>
        <a:ln w="25400">
          <a:noFill/>
        </a:ln>
      </c:spPr>
    </c:title>
    <c:autoTitleDeleted val="0"/>
    <c:plotArea>
      <c:layout>
        <c:manualLayout>
          <c:layoutTarget val="inner"/>
          <c:xMode val="edge"/>
          <c:yMode val="edge"/>
          <c:x val="5.9490085414422411E-2"/>
          <c:y val="0.1654676339722965"/>
          <c:w val="0.62606232745654056"/>
          <c:h val="0.726618740487041"/>
        </c:manualLayout>
      </c:layout>
      <c:barChart>
        <c:barDir val="col"/>
        <c:grouping val="percentStacked"/>
        <c:varyColors val="0"/>
        <c:ser>
          <c:idx val="0"/>
          <c:order val="0"/>
          <c:tx>
            <c:strRef>
              <c:f>Результаты!$H$23</c:f>
              <c:strCache>
                <c:ptCount val="1"/>
                <c:pt idx="0">
                  <c:v>Mellifera</c:v>
                </c:pt>
              </c:strCache>
            </c:strRef>
          </c:tx>
          <c:spPr>
            <a:solidFill>
              <a:srgbClr val="0000FF"/>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Результаты!$J$23:$K$23</c:f>
              <c:numCache>
                <c:formatCode>0.0%</c:formatCode>
                <c:ptCount val="2"/>
                <c:pt idx="0">
                  <c:v>1</c:v>
                </c:pt>
                <c:pt idx="1">
                  <c:v>0.94598101561867198</c:v>
                </c:pt>
              </c:numCache>
            </c:numRef>
          </c:val>
        </c:ser>
        <c:ser>
          <c:idx val="1"/>
          <c:order val="1"/>
          <c:tx>
            <c:strRef>
              <c:f>Результаты!$H$24</c:f>
              <c:strCache>
                <c:ptCount val="1"/>
                <c:pt idx="0">
                  <c:v>Caucasica</c:v>
                </c:pt>
              </c:strCache>
            </c:strRef>
          </c:tx>
          <c:spPr>
            <a:solidFill>
              <a:srgbClr val="C00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Результаты!$J$24:$K$24</c:f>
              <c:numCache>
                <c:formatCode>0.0%</c:formatCode>
                <c:ptCount val="2"/>
                <c:pt idx="0">
                  <c:v>0</c:v>
                </c:pt>
                <c:pt idx="1">
                  <c:v>0</c:v>
                </c:pt>
              </c:numCache>
            </c:numRef>
          </c:val>
        </c:ser>
        <c:ser>
          <c:idx val="2"/>
          <c:order val="2"/>
          <c:tx>
            <c:strRef>
              <c:f>Результаты!$H$25</c:f>
              <c:strCache>
                <c:ptCount val="1"/>
                <c:pt idx="0">
                  <c:v>Ligustica</c:v>
                </c:pt>
              </c:strCache>
            </c:strRef>
          </c:tx>
          <c:spPr>
            <a:solidFill>
              <a:srgbClr val="FFCC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Результаты!$J$25:$K$25</c:f>
              <c:numCache>
                <c:formatCode>0.0%</c:formatCode>
                <c:ptCount val="2"/>
                <c:pt idx="0">
                  <c:v>0</c:v>
                </c:pt>
                <c:pt idx="1">
                  <c:v>0</c:v>
                </c:pt>
              </c:numCache>
            </c:numRef>
          </c:val>
        </c:ser>
        <c:ser>
          <c:idx val="3"/>
          <c:order val="3"/>
          <c:tx>
            <c:strRef>
              <c:f>Результаты!$H$26</c:f>
              <c:strCache>
                <c:ptCount val="1"/>
                <c:pt idx="0">
                  <c:v>Carnica</c:v>
                </c:pt>
              </c:strCache>
            </c:strRef>
          </c:tx>
          <c:spPr>
            <a:solidFill>
              <a:srgbClr val="008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Результаты!$J$26:$K$26</c:f>
              <c:numCache>
                <c:formatCode>0.0%</c:formatCode>
                <c:ptCount val="2"/>
                <c:pt idx="0">
                  <c:v>0</c:v>
                </c:pt>
                <c:pt idx="1">
                  <c:v>0</c:v>
                </c:pt>
              </c:numCache>
            </c:numRef>
          </c:val>
        </c:ser>
        <c:dLbls>
          <c:showLegendKey val="0"/>
          <c:showVal val="0"/>
          <c:showCatName val="0"/>
          <c:showSerName val="0"/>
          <c:showPercent val="0"/>
          <c:showBubbleSize val="0"/>
        </c:dLbls>
        <c:gapWidth val="200"/>
        <c:overlap val="100"/>
        <c:axId val="577333896"/>
        <c:axId val="577334288"/>
      </c:barChart>
      <c:catAx>
        <c:axId val="577333896"/>
        <c:scaling>
          <c:orientation val="minMax"/>
        </c:scaling>
        <c:delete val="0"/>
        <c:axPos val="b"/>
        <c:numFmt formatCode="General" sourceLinked="1"/>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577334288"/>
        <c:crosses val="autoZero"/>
        <c:auto val="1"/>
        <c:lblAlgn val="ctr"/>
        <c:lblOffset val="100"/>
        <c:noMultiLvlLbl val="0"/>
      </c:catAx>
      <c:valAx>
        <c:axId val="577334288"/>
        <c:scaling>
          <c:orientation val="minMax"/>
          <c:min val="0"/>
        </c:scaling>
        <c:delete val="0"/>
        <c:axPos val="l"/>
        <c:majorGridlines>
          <c:spPr>
            <a:ln w="3175" cap="flat" cmpd="sng" algn="ctr">
              <a:solidFill>
                <a:srgbClr val="898989"/>
              </a:solidFill>
              <a:prstDash val="solid"/>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577333896"/>
        <c:crosses val="autoZero"/>
        <c:crossBetween val="between"/>
      </c:valAx>
      <c:spPr>
        <a:noFill/>
        <a:ln w="25400">
          <a:noFill/>
        </a:ln>
      </c:spPr>
    </c:plotArea>
    <c:legend>
      <c:legendPos val="r"/>
      <c:layout>
        <c:manualLayout>
          <c:xMode val="edge"/>
          <c:yMode val="edge"/>
          <c:x val="0.79619757162082772"/>
          <c:y val="0.28363891563914223"/>
          <c:w val="0.11224896463012946"/>
          <c:h val="0.21275452079281459"/>
        </c:manualLayout>
      </c:layout>
      <c:overlay val="0"/>
      <c:spPr>
        <a:noFill/>
        <a:ln w="25400">
          <a:noFill/>
        </a:ln>
      </c:spPr>
      <c:txPr>
        <a:bodyPr rot="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legend>
    <c:plotVisOnly val="1"/>
    <c:dispBlanksAs val="gap"/>
    <c:showDLblsOverMax val="0"/>
  </c:chart>
  <c:spPr>
    <a:solidFill>
      <a:schemeClr val="bg1"/>
    </a:solidFill>
    <a:ln w="3175" cap="flat" cmpd="sng" algn="ctr">
      <a:solidFill>
        <a:srgbClr val="000000"/>
      </a:solidFill>
      <a:round/>
    </a:ln>
    <a:effectLst/>
  </c:spPr>
  <c:txPr>
    <a:bodyPr/>
    <a:lstStyle/>
    <a:p>
      <a:pPr>
        <a:defRPr sz="1000" b="0" i="0" u="none" strike="noStrike" baseline="0">
          <a:solidFill>
            <a:srgbClr val="000000"/>
          </a:solidFill>
          <a:latin typeface="Calibri"/>
          <a:ea typeface="Calibri"/>
          <a:cs typeface="Calibri"/>
        </a:defRPr>
      </a:pPr>
      <a:endParaRPr lang="ru-RU"/>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5. Распределение частоты </a:t>
            </a:r>
            <a:r>
              <a:rPr lang="en-US"/>
              <a:t>CI </a:t>
            </a:r>
            <a:r>
              <a:rPr lang="ru-RU"/>
              <a:t>по классам</a:t>
            </a:r>
          </a:p>
        </c:rich>
      </c:tx>
      <c:layout>
        <c:manualLayout>
          <c:xMode val="edge"/>
          <c:yMode val="edge"/>
          <c:x val="0.25498632446540254"/>
          <c:y val="1.9498597158113858E-2"/>
        </c:manualLayout>
      </c:layout>
      <c:overlay val="0"/>
      <c:spPr>
        <a:noFill/>
        <a:ln w="25400">
          <a:noFill/>
        </a:ln>
      </c:spPr>
    </c:title>
    <c:autoTitleDeleted val="0"/>
    <c:plotArea>
      <c:layout>
        <c:manualLayout>
          <c:layoutTarget val="inner"/>
          <c:xMode val="edge"/>
          <c:yMode val="edge"/>
          <c:x val="4.8251445778253875E-2"/>
          <c:y val="0.17654748148576338"/>
          <c:w val="0.94605250080065373"/>
          <c:h val="0.71918669060739571"/>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Графики!$A$2:$A$27</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numCache>
            </c:numRef>
          </c:cat>
          <c:val>
            <c:numRef>
              <c:f>Графики!$C$2:$C$27</c:f>
              <c:numCache>
                <c:formatCode>General</c:formatCode>
                <c:ptCount val="26"/>
                <c:pt idx="0">
                  <c:v>0</c:v>
                </c:pt>
                <c:pt idx="1">
                  <c:v>0</c:v>
                </c:pt>
                <c:pt idx="2">
                  <c:v>0</c:v>
                </c:pt>
                <c:pt idx="3">
                  <c:v>0</c:v>
                </c:pt>
                <c:pt idx="4">
                  <c:v>0</c:v>
                </c:pt>
                <c:pt idx="5">
                  <c:v>0</c:v>
                </c:pt>
                <c:pt idx="6">
                  <c:v>1</c:v>
                </c:pt>
                <c:pt idx="7">
                  <c:v>0</c:v>
                </c:pt>
                <c:pt idx="8">
                  <c:v>2</c:v>
                </c:pt>
                <c:pt idx="9">
                  <c:v>8</c:v>
                </c:pt>
                <c:pt idx="10">
                  <c:v>12</c:v>
                </c:pt>
                <c:pt idx="11">
                  <c:v>5</c:v>
                </c:pt>
                <c:pt idx="12">
                  <c:v>1</c:v>
                </c:pt>
                <c:pt idx="13">
                  <c:v>1</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150"/>
        <c:axId val="577335072"/>
        <c:axId val="577335464"/>
      </c:barChart>
      <c:lineChart>
        <c:grouping val="standard"/>
        <c:varyColors val="0"/>
        <c:ser>
          <c:idx val="1"/>
          <c:order val="3"/>
          <c:tx>
            <c:v>кривая фиктивная</c:v>
          </c:tx>
          <c:spPr>
            <a:ln w="38100">
              <a:noFill/>
            </a:ln>
            <a:effectLst>
              <a:softEdge rad="0"/>
            </a:effectLst>
          </c:spPr>
          <c:marker>
            <c:symbol val="none"/>
          </c:marker>
          <c:cat>
            <c:numRef>
              <c:f>Графики!$B$2:$B$27</c:f>
              <c:numCache>
                <c:formatCode>General</c:formatCode>
                <c:ptCount val="26"/>
                <c:pt idx="0">
                  <c:v>0.76</c:v>
                </c:pt>
                <c:pt idx="1">
                  <c:v>0.81</c:v>
                </c:pt>
                <c:pt idx="2">
                  <c:v>0.87</c:v>
                </c:pt>
                <c:pt idx="3">
                  <c:v>0.93</c:v>
                </c:pt>
                <c:pt idx="4">
                  <c:v>1</c:v>
                </c:pt>
                <c:pt idx="5">
                  <c:v>1.07</c:v>
                </c:pt>
                <c:pt idx="6">
                  <c:v>1.1399999999999999</c:v>
                </c:pt>
                <c:pt idx="7">
                  <c:v>1.22</c:v>
                </c:pt>
                <c:pt idx="8">
                  <c:v>1.31</c:v>
                </c:pt>
                <c:pt idx="9">
                  <c:v>1.4</c:v>
                </c:pt>
                <c:pt idx="10">
                  <c:v>1.5</c:v>
                </c:pt>
                <c:pt idx="11">
                  <c:v>1.61</c:v>
                </c:pt>
                <c:pt idx="12">
                  <c:v>1.73</c:v>
                </c:pt>
                <c:pt idx="13">
                  <c:v>1.86</c:v>
                </c:pt>
                <c:pt idx="14">
                  <c:v>2</c:v>
                </c:pt>
                <c:pt idx="15">
                  <c:v>2.16</c:v>
                </c:pt>
                <c:pt idx="16">
                  <c:v>2.33</c:v>
                </c:pt>
                <c:pt idx="17">
                  <c:v>2.5299999999999998</c:v>
                </c:pt>
                <c:pt idx="18">
                  <c:v>2.75</c:v>
                </c:pt>
                <c:pt idx="19">
                  <c:v>3</c:v>
                </c:pt>
                <c:pt idx="20">
                  <c:v>3.29</c:v>
                </c:pt>
                <c:pt idx="21">
                  <c:v>3.62</c:v>
                </c:pt>
                <c:pt idx="22">
                  <c:v>4</c:v>
                </c:pt>
                <c:pt idx="23">
                  <c:v>4.45</c:v>
                </c:pt>
                <c:pt idx="24">
                  <c:v>5</c:v>
                </c:pt>
                <c:pt idx="25">
                  <c:v>5.67</c:v>
                </c:pt>
              </c:numCache>
            </c:numRef>
          </c:cat>
          <c:val>
            <c:numRef>
              <c:f>Графики!$C$2:$C$27</c:f>
              <c:numCache>
                <c:formatCode>General</c:formatCode>
                <c:ptCount val="26"/>
                <c:pt idx="0">
                  <c:v>0</c:v>
                </c:pt>
                <c:pt idx="1">
                  <c:v>0</c:v>
                </c:pt>
                <c:pt idx="2">
                  <c:v>0</c:v>
                </c:pt>
                <c:pt idx="3">
                  <c:v>0</c:v>
                </c:pt>
                <c:pt idx="4">
                  <c:v>0</c:v>
                </c:pt>
                <c:pt idx="5">
                  <c:v>0</c:v>
                </c:pt>
                <c:pt idx="6">
                  <c:v>1</c:v>
                </c:pt>
                <c:pt idx="7">
                  <c:v>0</c:v>
                </c:pt>
                <c:pt idx="8">
                  <c:v>2</c:v>
                </c:pt>
                <c:pt idx="9">
                  <c:v>8</c:v>
                </c:pt>
                <c:pt idx="10">
                  <c:v>12</c:v>
                </c:pt>
                <c:pt idx="11">
                  <c:v>5</c:v>
                </c:pt>
                <c:pt idx="12">
                  <c:v>1</c:v>
                </c:pt>
                <c:pt idx="13">
                  <c:v>1</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577335856"/>
        <c:axId val="577336248"/>
      </c:lineChart>
      <c:scatterChart>
        <c:scatterStyle val="lineMarker"/>
        <c:varyColors val="0"/>
        <c:ser>
          <c:idx val="4"/>
          <c:order val="1"/>
          <c:tx>
            <c:v>Нижняя граница допустимого</c:v>
          </c:tx>
          <c:spPr>
            <a:ln w="25400">
              <a:solidFill>
                <a:srgbClr val="FF0000"/>
              </a:solidFill>
            </a:ln>
          </c:spPr>
          <c:marker>
            <c:symbol val="none"/>
          </c:marker>
          <c:xVal>
            <c:numRef>
              <c:f>'ИД и расчеты'!$E$241:$E$242</c:f>
              <c:numCache>
                <c:formatCode>0.00</c:formatCode>
                <c:ptCount val="2"/>
                <c:pt idx="0">
                  <c:v>1</c:v>
                </c:pt>
                <c:pt idx="1">
                  <c:v>1</c:v>
                </c:pt>
              </c:numCache>
            </c:numRef>
          </c:xVal>
          <c:yVal>
            <c:numRef>
              <c:f>'ИД и расчеты'!$F$241:$F$242</c:f>
              <c:numCache>
                <c:formatCode>General</c:formatCode>
                <c:ptCount val="2"/>
                <c:pt idx="0">
                  <c:v>0</c:v>
                </c:pt>
                <c:pt idx="1">
                  <c:v>14</c:v>
                </c:pt>
              </c:numCache>
            </c:numRef>
          </c:yVal>
          <c:smooth val="0"/>
        </c:ser>
        <c:ser>
          <c:idx val="3"/>
          <c:order val="4"/>
          <c:tx>
            <c:v>Нижний диапазон</c:v>
          </c:tx>
          <c:spPr>
            <a:ln w="25400">
              <a:solidFill>
                <a:srgbClr val="00B050"/>
              </a:solidFill>
            </a:ln>
          </c:spPr>
          <c:marker>
            <c:symbol val="none"/>
          </c:marker>
          <c:xVal>
            <c:numRef>
              <c:f>'ИД и расчеты'!$C$241:$C$242</c:f>
              <c:numCache>
                <c:formatCode>0.00</c:formatCode>
                <c:ptCount val="2"/>
                <c:pt idx="0">
                  <c:v>1</c:v>
                </c:pt>
                <c:pt idx="1">
                  <c:v>1</c:v>
                </c:pt>
              </c:numCache>
            </c:numRef>
          </c:xVal>
          <c:yVal>
            <c:numRef>
              <c:f>'ИД и расчеты'!$D$241:$D$242</c:f>
              <c:numCache>
                <c:formatCode>0.00</c:formatCode>
                <c:ptCount val="2"/>
                <c:pt idx="0">
                  <c:v>0</c:v>
                </c:pt>
                <c:pt idx="1">
                  <c:v>14</c:v>
                </c:pt>
              </c:numCache>
            </c:numRef>
          </c:yVal>
          <c:smooth val="0"/>
        </c:ser>
        <c:ser>
          <c:idx val="5"/>
          <c:order val="5"/>
          <c:tx>
            <c:v>Верхняя нраница допустимого</c:v>
          </c:tx>
          <c:spPr>
            <a:ln w="25400">
              <a:solidFill>
                <a:srgbClr val="FF0000"/>
              </a:solidFill>
            </a:ln>
          </c:spPr>
          <c:marker>
            <c:symbol val="none"/>
          </c:marker>
          <c:xVal>
            <c:numRef>
              <c:f>'ИД и расчеты'!$I$241:$I$242</c:f>
              <c:numCache>
                <c:formatCode>0.00</c:formatCode>
                <c:ptCount val="2"/>
                <c:pt idx="0">
                  <c:v>19</c:v>
                </c:pt>
                <c:pt idx="1">
                  <c:v>19</c:v>
                </c:pt>
              </c:numCache>
            </c:numRef>
          </c:xVal>
          <c:yVal>
            <c:numRef>
              <c:f>'ИД и расчеты'!$J$241:$J$242</c:f>
              <c:numCache>
                <c:formatCode>General</c:formatCode>
                <c:ptCount val="2"/>
                <c:pt idx="0">
                  <c:v>0</c:v>
                </c:pt>
                <c:pt idx="1">
                  <c:v>14</c:v>
                </c:pt>
              </c:numCache>
            </c:numRef>
          </c:yVal>
          <c:smooth val="0"/>
        </c:ser>
        <c:ser>
          <c:idx val="2"/>
          <c:order val="6"/>
          <c:tx>
            <c:v>Верхний диапазон</c:v>
          </c:tx>
          <c:spPr>
            <a:ln w="25400">
              <a:solidFill>
                <a:srgbClr val="00B050"/>
              </a:solidFill>
            </a:ln>
          </c:spPr>
          <c:marker>
            <c:symbol val="none"/>
          </c:marker>
          <c:xVal>
            <c:numRef>
              <c:f>'ИД и расчеты'!$G$241:$G$242</c:f>
              <c:numCache>
                <c:formatCode>0.00</c:formatCode>
                <c:ptCount val="2"/>
                <c:pt idx="0">
                  <c:v>16</c:v>
                </c:pt>
                <c:pt idx="1">
                  <c:v>16</c:v>
                </c:pt>
              </c:numCache>
            </c:numRef>
          </c:xVal>
          <c:yVal>
            <c:numRef>
              <c:f>'ИД и расчеты'!$D$241:$D$242</c:f>
              <c:numCache>
                <c:formatCode>0.00</c:formatCode>
                <c:ptCount val="2"/>
                <c:pt idx="0">
                  <c:v>0</c:v>
                </c:pt>
                <c:pt idx="1">
                  <c:v>14</c:v>
                </c:pt>
              </c:numCache>
            </c:numRef>
          </c:yVal>
          <c:smooth val="0"/>
        </c:ser>
        <c:dLbls>
          <c:showLegendKey val="0"/>
          <c:showVal val="0"/>
          <c:showCatName val="0"/>
          <c:showSerName val="0"/>
          <c:showPercent val="0"/>
          <c:showBubbleSize val="0"/>
        </c:dLbls>
        <c:axId val="577335072"/>
        <c:axId val="577335464"/>
      </c:scatterChart>
      <c:scatterChart>
        <c:scatterStyle val="smoothMarker"/>
        <c:varyColors val="0"/>
        <c:ser>
          <c:idx val="6"/>
          <c:order val="2"/>
          <c:tx>
            <c:v>Крива</c:v>
          </c:tx>
          <c:spPr>
            <a:ln w="25400">
              <a:solidFill>
                <a:srgbClr val="FF0000"/>
              </a:solidFill>
            </a:ln>
          </c:spPr>
          <c:marker>
            <c:symbol val="none"/>
          </c:marker>
          <c:yVal>
            <c:numRef>
              <c:f>Графики!$C$2:$C$27</c:f>
              <c:numCache>
                <c:formatCode>General</c:formatCode>
                <c:ptCount val="26"/>
                <c:pt idx="0">
                  <c:v>0</c:v>
                </c:pt>
                <c:pt idx="1">
                  <c:v>0</c:v>
                </c:pt>
                <c:pt idx="2">
                  <c:v>0</c:v>
                </c:pt>
                <c:pt idx="3">
                  <c:v>0</c:v>
                </c:pt>
                <c:pt idx="4">
                  <c:v>0</c:v>
                </c:pt>
                <c:pt idx="5">
                  <c:v>0</c:v>
                </c:pt>
                <c:pt idx="6">
                  <c:v>1</c:v>
                </c:pt>
                <c:pt idx="7">
                  <c:v>0</c:v>
                </c:pt>
                <c:pt idx="8">
                  <c:v>2</c:v>
                </c:pt>
                <c:pt idx="9">
                  <c:v>8</c:v>
                </c:pt>
                <c:pt idx="10">
                  <c:v>12</c:v>
                </c:pt>
                <c:pt idx="11">
                  <c:v>5</c:v>
                </c:pt>
                <c:pt idx="12">
                  <c:v>1</c:v>
                </c:pt>
                <c:pt idx="13">
                  <c:v>1</c:v>
                </c:pt>
                <c:pt idx="14">
                  <c:v>0</c:v>
                </c:pt>
                <c:pt idx="15">
                  <c:v>0</c:v>
                </c:pt>
                <c:pt idx="16">
                  <c:v>0</c:v>
                </c:pt>
                <c:pt idx="17">
                  <c:v>0</c:v>
                </c:pt>
                <c:pt idx="18">
                  <c:v>0</c:v>
                </c:pt>
                <c:pt idx="19">
                  <c:v>0</c:v>
                </c:pt>
                <c:pt idx="20">
                  <c:v>0</c:v>
                </c:pt>
                <c:pt idx="21">
                  <c:v>0</c:v>
                </c:pt>
                <c:pt idx="22">
                  <c:v>0</c:v>
                </c:pt>
                <c:pt idx="23">
                  <c:v>0</c:v>
                </c:pt>
                <c:pt idx="24">
                  <c:v>0</c:v>
                </c:pt>
                <c:pt idx="25">
                  <c:v>0</c:v>
                </c:pt>
              </c:numCache>
            </c:numRef>
          </c:yVal>
          <c:smooth val="1"/>
        </c:ser>
        <c:dLbls>
          <c:showLegendKey val="0"/>
          <c:showVal val="0"/>
          <c:showCatName val="0"/>
          <c:showSerName val="0"/>
          <c:showPercent val="0"/>
          <c:showBubbleSize val="0"/>
        </c:dLbls>
        <c:axId val="577335072"/>
        <c:axId val="577335464"/>
      </c:scatterChart>
      <c:catAx>
        <c:axId val="577335072"/>
        <c:scaling>
          <c:orientation val="minMax"/>
        </c:scaling>
        <c:delete val="0"/>
        <c:axPos val="b"/>
        <c:majorGridlines/>
        <c:numFmt formatCode="General"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7335464"/>
        <c:crosses val="autoZero"/>
        <c:auto val="1"/>
        <c:lblAlgn val="ctr"/>
        <c:lblOffset val="100"/>
        <c:tickLblSkip val="1"/>
        <c:tickMarkSkip val="1"/>
        <c:noMultiLvlLbl val="0"/>
      </c:catAx>
      <c:valAx>
        <c:axId val="577335464"/>
        <c:scaling>
          <c:orientation val="minMax"/>
          <c:max val="14"/>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chemeClr val="tx1"/>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7335072"/>
        <c:crosses val="autoZero"/>
        <c:crossBetween val="between"/>
        <c:majorUnit val="5"/>
      </c:valAx>
      <c:catAx>
        <c:axId val="577335856"/>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577336248"/>
        <c:crosses val="max"/>
        <c:auto val="1"/>
        <c:lblAlgn val="ctr"/>
        <c:lblOffset val="100"/>
        <c:tickMarkSkip val="1"/>
        <c:noMultiLvlLbl val="0"/>
      </c:catAx>
      <c:valAx>
        <c:axId val="577336248"/>
        <c:scaling>
          <c:orientation val="minMax"/>
        </c:scaling>
        <c:delete val="1"/>
        <c:axPos val="r"/>
        <c:numFmt formatCode="General" sourceLinked="1"/>
        <c:majorTickMark val="out"/>
        <c:minorTickMark val="none"/>
        <c:tickLblPos val="nextTo"/>
        <c:crossAx val="577335856"/>
        <c:crosses val="max"/>
        <c:crossBetween val="between"/>
      </c:valAx>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en-US"/>
              <a:t>6</a:t>
            </a:r>
            <a:r>
              <a:rPr lang="ru-RU"/>
              <a:t>. Распределение частоты </a:t>
            </a:r>
            <a:r>
              <a:rPr lang="en-US"/>
              <a:t>DsA</a:t>
            </a:r>
            <a:r>
              <a:rPr lang="ru-RU"/>
              <a:t> по классам</a:t>
            </a:r>
          </a:p>
        </c:rich>
      </c:tx>
      <c:layout>
        <c:manualLayout>
          <c:xMode val="edge"/>
          <c:yMode val="edge"/>
          <c:x val="0.25498632446540254"/>
          <c:y val="1.949851754641781E-2"/>
        </c:manualLayout>
      </c:layout>
      <c:overlay val="0"/>
      <c:spPr>
        <a:noFill/>
        <a:ln w="25400">
          <a:noFill/>
        </a:ln>
      </c:spPr>
    </c:title>
    <c:autoTitleDeleted val="0"/>
    <c:plotArea>
      <c:layout>
        <c:manualLayout>
          <c:layoutTarget val="inner"/>
          <c:xMode val="edge"/>
          <c:yMode val="edge"/>
          <c:x val="5.2706653522926396E-2"/>
          <c:y val="0.16578723307230336"/>
          <c:w val="0.92735220117365091"/>
          <c:h val="0.73393423628782617"/>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Графики!$I$2:$I$31</c:f>
              <c:numCache>
                <c:formatCode>0</c:formatCode>
                <c:ptCount val="30"/>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0</c:v>
                </c:pt>
                <c:pt idx="9">
                  <c:v>1</c:v>
                </c:pt>
                <c:pt idx="10">
                  <c:v>2</c:v>
                </c:pt>
                <c:pt idx="11">
                  <c:v>6</c:v>
                </c:pt>
                <c:pt idx="12">
                  <c:v>8</c:v>
                </c:pt>
                <c:pt idx="13">
                  <c:v>9</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axId val="577332328"/>
        <c:axId val="577331936"/>
      </c:barChart>
      <c:lineChart>
        <c:grouping val="standard"/>
        <c:varyColors val="0"/>
        <c:ser>
          <c:idx val="1"/>
          <c:order val="1"/>
          <c:tx>
            <c:v>Кривая фиктивная</c:v>
          </c:tx>
          <c:spPr>
            <a:ln w="25400">
              <a:noFill/>
              <a:prstDash val="solid"/>
            </a:ln>
          </c:spPr>
          <c:marker>
            <c:symbol val="none"/>
          </c:marker>
          <c:cat>
            <c:numRef>
              <c:f>Графики!$G$2:$G$31</c:f>
              <c:numCache>
                <c:formatCode>0.00</c:formatCode>
                <c:ptCount val="30"/>
                <c:pt idx="0">
                  <c:v>-15.31</c:v>
                </c:pt>
                <c:pt idx="1">
                  <c:v>-14.33</c:v>
                </c:pt>
                <c:pt idx="2">
                  <c:v>-13.36</c:v>
                </c:pt>
                <c:pt idx="3">
                  <c:v>-12.39</c:v>
                </c:pt>
                <c:pt idx="4">
                  <c:v>-11.42</c:v>
                </c:pt>
                <c:pt idx="5">
                  <c:v>-10.46</c:v>
                </c:pt>
                <c:pt idx="6">
                  <c:v>-9.5</c:v>
                </c:pt>
                <c:pt idx="7">
                  <c:v>-8.5399999999999991</c:v>
                </c:pt>
                <c:pt idx="8">
                  <c:v>-7.59</c:v>
                </c:pt>
                <c:pt idx="9">
                  <c:v>-6.63</c:v>
                </c:pt>
                <c:pt idx="10">
                  <c:v>-5.68</c:v>
                </c:pt>
                <c:pt idx="11">
                  <c:v>-4.7300000000000004</c:v>
                </c:pt>
                <c:pt idx="12">
                  <c:v>-3.78</c:v>
                </c:pt>
                <c:pt idx="13">
                  <c:v>-2.84</c:v>
                </c:pt>
                <c:pt idx="14">
                  <c:v>-1.89</c:v>
                </c:pt>
                <c:pt idx="15">
                  <c:v>-0.95</c:v>
                </c:pt>
                <c:pt idx="16">
                  <c:v>0</c:v>
                </c:pt>
                <c:pt idx="17">
                  <c:v>0.95</c:v>
                </c:pt>
                <c:pt idx="18">
                  <c:v>1.89</c:v>
                </c:pt>
                <c:pt idx="19">
                  <c:v>2.84</c:v>
                </c:pt>
                <c:pt idx="20">
                  <c:v>3.78</c:v>
                </c:pt>
                <c:pt idx="21">
                  <c:v>4.7300000000000004</c:v>
                </c:pt>
                <c:pt idx="22">
                  <c:v>5.68</c:v>
                </c:pt>
                <c:pt idx="23">
                  <c:v>6.63</c:v>
                </c:pt>
                <c:pt idx="24">
                  <c:v>7.59</c:v>
                </c:pt>
                <c:pt idx="25">
                  <c:v>8.5399999999999991</c:v>
                </c:pt>
                <c:pt idx="26">
                  <c:v>9.5</c:v>
                </c:pt>
                <c:pt idx="27">
                  <c:v>10.46</c:v>
                </c:pt>
                <c:pt idx="28">
                  <c:v>11.42</c:v>
                </c:pt>
                <c:pt idx="29">
                  <c:v>12.39</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0</c:v>
                </c:pt>
                <c:pt idx="9">
                  <c:v>1</c:v>
                </c:pt>
                <c:pt idx="10">
                  <c:v>2</c:v>
                </c:pt>
                <c:pt idx="11">
                  <c:v>6</c:v>
                </c:pt>
                <c:pt idx="12">
                  <c:v>8</c:v>
                </c:pt>
                <c:pt idx="13">
                  <c:v>9</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577331544"/>
        <c:axId val="577331152"/>
      </c:lineChart>
      <c:scatterChart>
        <c:scatterStyle val="smoothMarker"/>
        <c:varyColors val="0"/>
        <c:ser>
          <c:idx val="2"/>
          <c:order val="2"/>
          <c:tx>
            <c:v>Кривая</c:v>
          </c:tx>
          <c:spPr>
            <a:ln w="25400">
              <a:solidFill>
                <a:srgbClr val="FF0000"/>
              </a:solidFill>
            </a:ln>
          </c:spPr>
          <c:marker>
            <c:symbol val="none"/>
          </c:marker>
          <c:yVal>
            <c:numRef>
              <c:f>Графики!$H$2:$H$31</c:f>
              <c:numCache>
                <c:formatCode>General</c:formatCode>
                <c:ptCount val="30"/>
                <c:pt idx="0">
                  <c:v>0</c:v>
                </c:pt>
                <c:pt idx="1">
                  <c:v>0</c:v>
                </c:pt>
                <c:pt idx="2">
                  <c:v>0</c:v>
                </c:pt>
                <c:pt idx="3">
                  <c:v>0</c:v>
                </c:pt>
                <c:pt idx="4">
                  <c:v>0</c:v>
                </c:pt>
                <c:pt idx="5">
                  <c:v>0</c:v>
                </c:pt>
                <c:pt idx="6">
                  <c:v>0</c:v>
                </c:pt>
                <c:pt idx="7">
                  <c:v>0</c:v>
                </c:pt>
                <c:pt idx="8">
                  <c:v>0</c:v>
                </c:pt>
                <c:pt idx="9">
                  <c:v>1</c:v>
                </c:pt>
                <c:pt idx="10">
                  <c:v>2</c:v>
                </c:pt>
                <c:pt idx="11">
                  <c:v>6</c:v>
                </c:pt>
                <c:pt idx="12">
                  <c:v>8</c:v>
                </c:pt>
                <c:pt idx="13">
                  <c:v>9</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1"/>
        </c:ser>
        <c:ser>
          <c:idx val="5"/>
          <c:order val="3"/>
          <c:tx>
            <c:v>Нижняя граница допустимого</c:v>
          </c:tx>
          <c:spPr>
            <a:ln w="25400">
              <a:solidFill>
                <a:srgbClr val="FF0000"/>
              </a:solidFill>
            </a:ln>
          </c:spPr>
          <c:marker>
            <c:symbol val="none"/>
          </c:marker>
          <c:xVal>
            <c:numRef>
              <c:f>'ИД и расчеты'!$E$245:$E$246</c:f>
              <c:numCache>
                <c:formatCode>0.00</c:formatCode>
                <c:ptCount val="2"/>
                <c:pt idx="0">
                  <c:v>1</c:v>
                </c:pt>
                <c:pt idx="1">
                  <c:v>1</c:v>
                </c:pt>
              </c:numCache>
            </c:numRef>
          </c:xVal>
          <c:yVal>
            <c:numRef>
              <c:f>'ИД и расчеты'!$D$245:$D$246</c:f>
              <c:numCache>
                <c:formatCode>0.00</c:formatCode>
                <c:ptCount val="2"/>
                <c:pt idx="0">
                  <c:v>0</c:v>
                </c:pt>
                <c:pt idx="1">
                  <c:v>11</c:v>
                </c:pt>
              </c:numCache>
            </c:numRef>
          </c:yVal>
          <c:smooth val="1"/>
        </c:ser>
        <c:ser>
          <c:idx val="6"/>
          <c:order val="4"/>
          <c:tx>
            <c:v>Верхняя граница допустимого</c:v>
          </c:tx>
          <c:spPr>
            <a:ln w="25400">
              <a:solidFill>
                <a:srgbClr val="FF0000"/>
              </a:solidFill>
            </a:ln>
          </c:spPr>
          <c:marker>
            <c:symbol val="none"/>
          </c:marker>
          <c:xVal>
            <c:numRef>
              <c:f>'ИД и расчеты'!$I$245:$I$246</c:f>
              <c:numCache>
                <c:formatCode>0.00</c:formatCode>
                <c:ptCount val="2"/>
                <c:pt idx="0">
                  <c:v>21</c:v>
                </c:pt>
                <c:pt idx="1">
                  <c:v>21</c:v>
                </c:pt>
              </c:numCache>
            </c:numRef>
          </c:xVal>
          <c:yVal>
            <c:numRef>
              <c:f>'ИД и расчеты'!$J$245:$J$246</c:f>
              <c:numCache>
                <c:formatCode>General</c:formatCode>
                <c:ptCount val="2"/>
                <c:pt idx="0">
                  <c:v>0</c:v>
                </c:pt>
                <c:pt idx="1">
                  <c:v>11</c:v>
                </c:pt>
              </c:numCache>
            </c:numRef>
          </c:yVal>
          <c:smooth val="1"/>
        </c:ser>
        <c:ser>
          <c:idx val="3"/>
          <c:order val="5"/>
          <c:tx>
            <c:v>Нижний диапазон</c:v>
          </c:tx>
          <c:spPr>
            <a:ln w="25400">
              <a:solidFill>
                <a:srgbClr val="00B050"/>
              </a:solidFill>
            </a:ln>
          </c:spPr>
          <c:marker>
            <c:symbol val="none"/>
          </c:marker>
          <c:xVal>
            <c:numRef>
              <c:f>'ИД и расчеты'!$C$245:$C$246</c:f>
              <c:numCache>
                <c:formatCode>0.00</c:formatCode>
                <c:ptCount val="2"/>
                <c:pt idx="0">
                  <c:v>1</c:v>
                </c:pt>
                <c:pt idx="1">
                  <c:v>1</c:v>
                </c:pt>
              </c:numCache>
            </c:numRef>
          </c:xVal>
          <c:yVal>
            <c:numRef>
              <c:f>'ИД и расчеты'!$D$245:$D$246</c:f>
              <c:numCache>
                <c:formatCode>0.00</c:formatCode>
                <c:ptCount val="2"/>
                <c:pt idx="0">
                  <c:v>0</c:v>
                </c:pt>
                <c:pt idx="1">
                  <c:v>11</c:v>
                </c:pt>
              </c:numCache>
            </c:numRef>
          </c:yVal>
          <c:smooth val="1"/>
        </c:ser>
        <c:ser>
          <c:idx val="4"/>
          <c:order val="6"/>
          <c:tx>
            <c:v>Верхний диапазон</c:v>
          </c:tx>
          <c:spPr>
            <a:ln w="25400">
              <a:solidFill>
                <a:srgbClr val="00B050"/>
              </a:solidFill>
            </a:ln>
          </c:spPr>
          <c:marker>
            <c:symbol val="none"/>
          </c:marker>
          <c:xVal>
            <c:numRef>
              <c:f>'ИД и расчеты'!$G$245:$G$246</c:f>
              <c:numCache>
                <c:formatCode>0.00</c:formatCode>
                <c:ptCount val="2"/>
                <c:pt idx="0">
                  <c:v>17</c:v>
                </c:pt>
                <c:pt idx="1">
                  <c:v>17</c:v>
                </c:pt>
              </c:numCache>
            </c:numRef>
          </c:xVal>
          <c:yVal>
            <c:numRef>
              <c:f>'ИД и расчеты'!$H$245:$H$246</c:f>
              <c:numCache>
                <c:formatCode>0.00</c:formatCode>
                <c:ptCount val="2"/>
                <c:pt idx="0">
                  <c:v>0</c:v>
                </c:pt>
                <c:pt idx="1">
                  <c:v>11</c:v>
                </c:pt>
              </c:numCache>
            </c:numRef>
          </c:yVal>
          <c:smooth val="1"/>
        </c:ser>
        <c:dLbls>
          <c:showLegendKey val="0"/>
          <c:showVal val="0"/>
          <c:showCatName val="0"/>
          <c:showSerName val="0"/>
          <c:showPercent val="0"/>
          <c:showBubbleSize val="0"/>
        </c:dLbls>
        <c:axId val="577332328"/>
        <c:axId val="577331936"/>
      </c:scatterChart>
      <c:catAx>
        <c:axId val="577332328"/>
        <c:scaling>
          <c:orientation val="minMax"/>
        </c:scaling>
        <c:delete val="0"/>
        <c:axPos val="b"/>
        <c:majorGridlines/>
        <c:numFmt formatCode="0" sourceLinked="0"/>
        <c:majorTickMark val="out"/>
        <c:minorTickMark val="none"/>
        <c:tickLblPos val="nextTo"/>
        <c:spPr>
          <a:ln w="12700" cap="flat">
            <a:solidFill>
              <a:srgbClr val="000000"/>
            </a:solidFill>
            <a:prstDash val="solid"/>
            <a:miter lim="800000"/>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7331936"/>
        <c:crosses val="autoZero"/>
        <c:auto val="1"/>
        <c:lblAlgn val="ctr"/>
        <c:lblOffset val="100"/>
        <c:tickLblSkip val="1"/>
        <c:tickMarkSkip val="1"/>
        <c:noMultiLvlLbl val="0"/>
      </c:catAx>
      <c:valAx>
        <c:axId val="577331936"/>
        <c:scaling>
          <c:orientation val="minMax"/>
          <c:max val="11"/>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7332328"/>
        <c:crosses val="autoZero"/>
        <c:crossBetween val="between"/>
        <c:majorUnit val="5"/>
      </c:valAx>
      <c:catAx>
        <c:axId val="577331544"/>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577331152"/>
        <c:crosses val="max"/>
        <c:auto val="1"/>
        <c:lblAlgn val="ctr"/>
        <c:lblOffset val="100"/>
        <c:noMultiLvlLbl val="0"/>
      </c:catAx>
      <c:valAx>
        <c:axId val="577331152"/>
        <c:scaling>
          <c:orientation val="minMax"/>
        </c:scaling>
        <c:delete val="1"/>
        <c:axPos val="r"/>
        <c:numFmt formatCode="General" sourceLinked="1"/>
        <c:majorTickMark val="out"/>
        <c:minorTickMark val="none"/>
        <c:tickLblPos val="nextTo"/>
        <c:crossAx val="577331544"/>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7. Распределение частоты </a:t>
            </a:r>
            <a:r>
              <a:rPr lang="de-DE"/>
              <a:t>HI </a:t>
            </a:r>
            <a:r>
              <a:rPr lang="ru-RU"/>
              <a:t>по классам</a:t>
            </a:r>
          </a:p>
        </c:rich>
      </c:tx>
      <c:layout>
        <c:manualLayout>
          <c:xMode val="edge"/>
          <c:yMode val="edge"/>
          <c:x val="0.25498632523875697"/>
          <c:y val="1.949851754641781E-2"/>
        </c:manualLayout>
      </c:layout>
      <c:overlay val="0"/>
      <c:spPr>
        <a:noFill/>
        <a:ln w="25400">
          <a:noFill/>
        </a:ln>
      </c:spPr>
    </c:title>
    <c:autoTitleDeleted val="0"/>
    <c:plotArea>
      <c:layout>
        <c:manualLayout>
          <c:layoutTarget val="inner"/>
          <c:xMode val="edge"/>
          <c:yMode val="edge"/>
          <c:x val="5.2706653522926396E-2"/>
          <c:y val="0.17721766971498312"/>
          <c:w val="0.92735220117365091"/>
          <c:h val="0.72250379964514644"/>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cat>
          <c:val>
            <c:numRef>
              <c:f>Графики!$E$2:$E$32</c:f>
              <c:numCache>
                <c:formatCode>General</c:formatCode>
                <c:ptCount val="31"/>
                <c:pt idx="0">
                  <c:v>0</c:v>
                </c:pt>
                <c:pt idx="1">
                  <c:v>0</c:v>
                </c:pt>
                <c:pt idx="2">
                  <c:v>0</c:v>
                </c:pt>
                <c:pt idx="3">
                  <c:v>0</c:v>
                </c:pt>
                <c:pt idx="4">
                  <c:v>0</c:v>
                </c:pt>
                <c:pt idx="5">
                  <c:v>0</c:v>
                </c:pt>
                <c:pt idx="6">
                  <c:v>0</c:v>
                </c:pt>
                <c:pt idx="7">
                  <c:v>1</c:v>
                </c:pt>
                <c:pt idx="8">
                  <c:v>0</c:v>
                </c:pt>
                <c:pt idx="9">
                  <c:v>2</c:v>
                </c:pt>
                <c:pt idx="10">
                  <c:v>4</c:v>
                </c:pt>
                <c:pt idx="11">
                  <c:v>6</c:v>
                </c:pt>
                <c:pt idx="12">
                  <c:v>4</c:v>
                </c:pt>
                <c:pt idx="13">
                  <c:v>5</c:v>
                </c:pt>
                <c:pt idx="14">
                  <c:v>4</c:v>
                </c:pt>
                <c:pt idx="15">
                  <c:v>4</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577338208"/>
        <c:axId val="580505376"/>
      </c:barChart>
      <c:lineChart>
        <c:grouping val="standard"/>
        <c:varyColors val="0"/>
        <c:ser>
          <c:idx val="1"/>
          <c:order val="1"/>
          <c:tx>
            <c:v>Кривая фиктивная</c:v>
          </c:tx>
          <c:spPr>
            <a:ln w="25400">
              <a:noFill/>
              <a:prstDash val="solid"/>
            </a:ln>
          </c:spPr>
          <c:marker>
            <c:symbol val="none"/>
          </c:marker>
          <c:cat>
            <c:numRef>
              <c:f>Графики!$D$2:$D$33</c:f>
              <c:numCache>
                <c:formatCode>0.000</c:formatCode>
                <c:ptCount val="32"/>
                <c:pt idx="0">
                  <c:v>0.61599999999999999</c:v>
                </c:pt>
                <c:pt idx="1">
                  <c:v>0.63</c:v>
                </c:pt>
                <c:pt idx="2">
                  <c:v>0.64800000000000002</c:v>
                </c:pt>
                <c:pt idx="3">
                  <c:v>0.66600000000000004</c:v>
                </c:pt>
                <c:pt idx="4">
                  <c:v>0.68500000000000005</c:v>
                </c:pt>
                <c:pt idx="5">
                  <c:v>0.70399999999999996</c:v>
                </c:pt>
                <c:pt idx="6">
                  <c:v>0.72399999999999998</c:v>
                </c:pt>
                <c:pt idx="7">
                  <c:v>0.74399999999999999</c:v>
                </c:pt>
                <c:pt idx="8">
                  <c:v>0.76500000000000001</c:v>
                </c:pt>
                <c:pt idx="9">
                  <c:v>0.78600000000000003</c:v>
                </c:pt>
                <c:pt idx="10">
                  <c:v>0.80700000000000005</c:v>
                </c:pt>
                <c:pt idx="11">
                  <c:v>0.82899999999999996</c:v>
                </c:pt>
                <c:pt idx="12">
                  <c:v>0.85199999999999998</c:v>
                </c:pt>
                <c:pt idx="13">
                  <c:v>0.875</c:v>
                </c:pt>
                <c:pt idx="14">
                  <c:v>0.89900000000000002</c:v>
                </c:pt>
                <c:pt idx="15">
                  <c:v>0.92300000000000004</c:v>
                </c:pt>
                <c:pt idx="16">
                  <c:v>0.94799999999999995</c:v>
                </c:pt>
                <c:pt idx="17">
                  <c:v>0.97399999999999998</c:v>
                </c:pt>
                <c:pt idx="18">
                  <c:v>1</c:v>
                </c:pt>
                <c:pt idx="19">
                  <c:v>1.0269999999999999</c:v>
                </c:pt>
                <c:pt idx="20">
                  <c:v>1.0529999999999999</c:v>
                </c:pt>
                <c:pt idx="21">
                  <c:v>1.083</c:v>
                </c:pt>
                <c:pt idx="22">
                  <c:v>1.113</c:v>
                </c:pt>
                <c:pt idx="23">
                  <c:v>1.143</c:v>
                </c:pt>
                <c:pt idx="24">
                  <c:v>1.1739999999999999</c:v>
                </c:pt>
                <c:pt idx="25">
                  <c:v>1.206</c:v>
                </c:pt>
                <c:pt idx="26">
                  <c:v>1.2390000000000001</c:v>
                </c:pt>
                <c:pt idx="27">
                  <c:v>1.272</c:v>
                </c:pt>
                <c:pt idx="28">
                  <c:v>1.3080000000000001</c:v>
                </c:pt>
                <c:pt idx="29">
                  <c:v>1.3440000000000001</c:v>
                </c:pt>
                <c:pt idx="30">
                  <c:v>1.381</c:v>
                </c:pt>
                <c:pt idx="31">
                  <c:v>1.42</c:v>
                </c:pt>
              </c:numCache>
            </c:numRef>
          </c:cat>
          <c:val>
            <c:numRef>
              <c:f>Графики!$E$2:$E$33</c:f>
              <c:numCache>
                <c:formatCode>General</c:formatCode>
                <c:ptCount val="32"/>
                <c:pt idx="0">
                  <c:v>0</c:v>
                </c:pt>
                <c:pt idx="1">
                  <c:v>0</c:v>
                </c:pt>
                <c:pt idx="2">
                  <c:v>0</c:v>
                </c:pt>
                <c:pt idx="3">
                  <c:v>0</c:v>
                </c:pt>
                <c:pt idx="4">
                  <c:v>0</c:v>
                </c:pt>
                <c:pt idx="5">
                  <c:v>0</c:v>
                </c:pt>
                <c:pt idx="6">
                  <c:v>0</c:v>
                </c:pt>
                <c:pt idx="7">
                  <c:v>1</c:v>
                </c:pt>
                <c:pt idx="8">
                  <c:v>0</c:v>
                </c:pt>
                <c:pt idx="9">
                  <c:v>2</c:v>
                </c:pt>
                <c:pt idx="10">
                  <c:v>4</c:v>
                </c:pt>
                <c:pt idx="11">
                  <c:v>6</c:v>
                </c:pt>
                <c:pt idx="12">
                  <c:v>4</c:v>
                </c:pt>
                <c:pt idx="13">
                  <c:v>5</c:v>
                </c:pt>
                <c:pt idx="14">
                  <c:v>4</c:v>
                </c:pt>
                <c:pt idx="15">
                  <c:v>4</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ser>
        <c:dLbls>
          <c:showLegendKey val="0"/>
          <c:showVal val="0"/>
          <c:showCatName val="0"/>
          <c:showSerName val="0"/>
          <c:showPercent val="0"/>
          <c:showBubbleSize val="0"/>
        </c:dLbls>
        <c:marker val="1"/>
        <c:smooth val="0"/>
        <c:axId val="580505768"/>
        <c:axId val="580506160"/>
      </c:lineChart>
      <c:scatterChart>
        <c:scatterStyle val="smoothMarker"/>
        <c:varyColors val="0"/>
        <c:ser>
          <c:idx val="2"/>
          <c:order val="2"/>
          <c:tx>
            <c:v>Кривая</c:v>
          </c:tx>
          <c:spPr>
            <a:ln w="25400">
              <a:solidFill>
                <a:srgbClr val="FF0000"/>
              </a:solidFill>
            </a:ln>
          </c:spPr>
          <c:marker>
            <c:symbol val="none"/>
          </c:marker>
          <c:xVal>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xVal>
          <c:yVal>
            <c:numRef>
              <c:f>Графики!$E$2:$E$33</c:f>
              <c:numCache>
                <c:formatCode>General</c:formatCode>
                <c:ptCount val="32"/>
                <c:pt idx="0">
                  <c:v>0</c:v>
                </c:pt>
                <c:pt idx="1">
                  <c:v>0</c:v>
                </c:pt>
                <c:pt idx="2">
                  <c:v>0</c:v>
                </c:pt>
                <c:pt idx="3">
                  <c:v>0</c:v>
                </c:pt>
                <c:pt idx="4">
                  <c:v>0</c:v>
                </c:pt>
                <c:pt idx="5">
                  <c:v>0</c:v>
                </c:pt>
                <c:pt idx="6">
                  <c:v>0</c:v>
                </c:pt>
                <c:pt idx="7">
                  <c:v>1</c:v>
                </c:pt>
                <c:pt idx="8">
                  <c:v>0</c:v>
                </c:pt>
                <c:pt idx="9">
                  <c:v>2</c:v>
                </c:pt>
                <c:pt idx="10">
                  <c:v>4</c:v>
                </c:pt>
                <c:pt idx="11">
                  <c:v>6</c:v>
                </c:pt>
                <c:pt idx="12">
                  <c:v>4</c:v>
                </c:pt>
                <c:pt idx="13">
                  <c:v>5</c:v>
                </c:pt>
                <c:pt idx="14">
                  <c:v>4</c:v>
                </c:pt>
                <c:pt idx="15">
                  <c:v>4</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1"/>
        </c:ser>
        <c:ser>
          <c:idx val="5"/>
          <c:order val="3"/>
          <c:tx>
            <c:v>Нижняя граница</c:v>
          </c:tx>
          <c:spPr>
            <a:ln w="25400">
              <a:solidFill>
                <a:srgbClr val="FF0000"/>
              </a:solidFill>
            </a:ln>
          </c:spPr>
          <c:marker>
            <c:symbol val="none"/>
          </c:marker>
          <c:xVal>
            <c:numRef>
              <c:f>'ИД и расчеты'!$E$249:$E$250</c:f>
              <c:numCache>
                <c:formatCode>0.00</c:formatCode>
                <c:ptCount val="2"/>
                <c:pt idx="0">
                  <c:v>1</c:v>
                </c:pt>
                <c:pt idx="1">
                  <c:v>1</c:v>
                </c:pt>
              </c:numCache>
            </c:numRef>
          </c:xVal>
          <c:yVal>
            <c:numRef>
              <c:f>'ИД и расчеты'!$F$249:$F$250</c:f>
              <c:numCache>
                <c:formatCode>General</c:formatCode>
                <c:ptCount val="2"/>
                <c:pt idx="0">
                  <c:v>0</c:v>
                </c:pt>
                <c:pt idx="1">
                  <c:v>8</c:v>
                </c:pt>
              </c:numCache>
            </c:numRef>
          </c:yVal>
          <c:smooth val="1"/>
        </c:ser>
        <c:ser>
          <c:idx val="3"/>
          <c:order val="4"/>
          <c:tx>
            <c:v>Нижний диапазон допустимого</c:v>
          </c:tx>
          <c:spPr>
            <a:ln w="25400">
              <a:solidFill>
                <a:srgbClr val="00B050"/>
              </a:solidFill>
            </a:ln>
          </c:spPr>
          <c:marker>
            <c:symbol val="none"/>
          </c:marker>
          <c:xVal>
            <c:numRef>
              <c:f>'ИД и расчеты'!$C$249:$C$250</c:f>
              <c:numCache>
                <c:formatCode>0.00</c:formatCode>
                <c:ptCount val="2"/>
                <c:pt idx="0">
                  <c:v>1</c:v>
                </c:pt>
                <c:pt idx="1">
                  <c:v>1</c:v>
                </c:pt>
              </c:numCache>
            </c:numRef>
          </c:xVal>
          <c:yVal>
            <c:numRef>
              <c:f>'ИД и расчеты'!$D$249:$D$250</c:f>
              <c:numCache>
                <c:formatCode>0.00</c:formatCode>
                <c:ptCount val="2"/>
                <c:pt idx="0">
                  <c:v>0</c:v>
                </c:pt>
                <c:pt idx="1">
                  <c:v>8</c:v>
                </c:pt>
              </c:numCache>
            </c:numRef>
          </c:yVal>
          <c:smooth val="1"/>
        </c:ser>
        <c:ser>
          <c:idx val="6"/>
          <c:order val="5"/>
          <c:tx>
            <c:v>Верхняя граница допустимого</c:v>
          </c:tx>
          <c:spPr>
            <a:ln w="25400">
              <a:solidFill>
                <a:srgbClr val="FF0000"/>
              </a:solidFill>
            </a:ln>
          </c:spPr>
          <c:marker>
            <c:symbol val="none"/>
          </c:marker>
          <c:xVal>
            <c:numRef>
              <c:f>'ИД и расчеты'!$I$249:$I$250</c:f>
              <c:numCache>
                <c:formatCode>0.00</c:formatCode>
                <c:ptCount val="2"/>
                <c:pt idx="0">
                  <c:v>20</c:v>
                </c:pt>
                <c:pt idx="1">
                  <c:v>20</c:v>
                </c:pt>
              </c:numCache>
            </c:numRef>
          </c:xVal>
          <c:yVal>
            <c:numRef>
              <c:f>'ИД и расчеты'!$J$249:$J$250</c:f>
              <c:numCache>
                <c:formatCode>General</c:formatCode>
                <c:ptCount val="2"/>
                <c:pt idx="0">
                  <c:v>0</c:v>
                </c:pt>
                <c:pt idx="1">
                  <c:v>8</c:v>
                </c:pt>
              </c:numCache>
            </c:numRef>
          </c:yVal>
          <c:smooth val="1"/>
        </c:ser>
        <c:ser>
          <c:idx val="4"/>
          <c:order val="6"/>
          <c:tx>
            <c:v>Верхний диапазон</c:v>
          </c:tx>
          <c:spPr>
            <a:ln w="25400">
              <a:solidFill>
                <a:srgbClr val="00B050"/>
              </a:solidFill>
            </a:ln>
          </c:spPr>
          <c:marker>
            <c:symbol val="none"/>
          </c:marker>
          <c:xVal>
            <c:numRef>
              <c:f>'ИД и расчеты'!$G$249:$G$250</c:f>
              <c:numCache>
                <c:formatCode>0.00</c:formatCode>
                <c:ptCount val="2"/>
                <c:pt idx="0">
                  <c:v>16</c:v>
                </c:pt>
                <c:pt idx="1">
                  <c:v>16</c:v>
                </c:pt>
              </c:numCache>
            </c:numRef>
          </c:xVal>
          <c:yVal>
            <c:numRef>
              <c:f>'ИД и расчеты'!$H$249:$H$250</c:f>
              <c:numCache>
                <c:formatCode>0.00</c:formatCode>
                <c:ptCount val="2"/>
                <c:pt idx="0">
                  <c:v>0</c:v>
                </c:pt>
                <c:pt idx="1">
                  <c:v>8</c:v>
                </c:pt>
              </c:numCache>
            </c:numRef>
          </c:yVal>
          <c:smooth val="1"/>
        </c:ser>
        <c:dLbls>
          <c:showLegendKey val="0"/>
          <c:showVal val="0"/>
          <c:showCatName val="0"/>
          <c:showSerName val="0"/>
          <c:showPercent val="0"/>
          <c:showBubbleSize val="0"/>
        </c:dLbls>
        <c:axId val="577338208"/>
        <c:axId val="580505376"/>
      </c:scatterChart>
      <c:catAx>
        <c:axId val="577338208"/>
        <c:scaling>
          <c:orientation val="minMax"/>
        </c:scaling>
        <c:delete val="0"/>
        <c:axPos val="b"/>
        <c:majorGridlines/>
        <c:numFmt formatCode="0"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80505376"/>
        <c:crosses val="autoZero"/>
        <c:auto val="1"/>
        <c:lblAlgn val="ctr"/>
        <c:lblOffset val="100"/>
        <c:tickLblSkip val="1"/>
        <c:tickMarkSkip val="1"/>
        <c:noMultiLvlLbl val="0"/>
      </c:catAx>
      <c:valAx>
        <c:axId val="580505376"/>
        <c:scaling>
          <c:orientation val="minMax"/>
          <c:max val="8"/>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7338208"/>
        <c:crosses val="autoZero"/>
        <c:crossBetween val="between"/>
        <c:majorUnit val="5"/>
      </c:valAx>
      <c:catAx>
        <c:axId val="580505768"/>
        <c:scaling>
          <c:orientation val="minMax"/>
        </c:scaling>
        <c:delete val="0"/>
        <c:axPos val="t"/>
        <c:numFmt formatCode="0.000" sourceLinked="1"/>
        <c:majorTickMark val="out"/>
        <c:minorTickMark val="none"/>
        <c:tickLblPos val="nextTo"/>
        <c:txPr>
          <a:bodyPr rot="-5400000" vert="horz"/>
          <a:lstStyle/>
          <a:p>
            <a:pPr>
              <a:defRPr sz="600" b="1"/>
            </a:pPr>
            <a:endParaRPr lang="ru-RU"/>
          </a:p>
        </c:txPr>
        <c:crossAx val="580506160"/>
        <c:crosses val="max"/>
        <c:auto val="1"/>
        <c:lblAlgn val="ctr"/>
        <c:lblOffset val="100"/>
        <c:tickMarkSkip val="1"/>
        <c:noMultiLvlLbl val="0"/>
      </c:catAx>
      <c:valAx>
        <c:axId val="580506160"/>
        <c:scaling>
          <c:orientation val="minMax"/>
        </c:scaling>
        <c:delete val="1"/>
        <c:axPos val="r"/>
        <c:numFmt formatCode="General" sourceLinked="1"/>
        <c:majorTickMark val="out"/>
        <c:minorTickMark val="none"/>
        <c:tickLblPos val="nextTo"/>
        <c:crossAx val="580505768"/>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22860</xdr:colOff>
      <xdr:row>28</xdr:row>
      <xdr:rowOff>129540</xdr:rowOff>
    </xdr:from>
    <xdr:to>
      <xdr:col>8</xdr:col>
      <xdr:colOff>899160</xdr:colOff>
      <xdr:row>39</xdr:row>
      <xdr:rowOff>137160</xdr:rowOff>
    </xdr:to>
    <xdr:pic>
      <xdr:nvPicPr>
        <xdr:cNvPr id="2037" name="Picture 1" descr="Точки на крыле"/>
        <xdr:cNvPicPr>
          <a:picLocks noChangeAspect="1" noChangeArrowheads="1"/>
        </xdr:cNvPicPr>
      </xdr:nvPicPr>
      <xdr:blipFill>
        <a:blip xmlns:r="http://schemas.openxmlformats.org/officeDocument/2006/relationships" r:embed="rId1">
          <a:lum bright="4000"/>
        </a:blip>
        <a:srcRect/>
        <a:stretch>
          <a:fillRect/>
        </a:stretch>
      </xdr:blipFill>
      <xdr:spPr bwMode="auto">
        <a:xfrm>
          <a:off x="2926080" y="4404360"/>
          <a:ext cx="3078480" cy="1844040"/>
        </a:xfrm>
        <a:prstGeom prst="rect">
          <a:avLst/>
        </a:prstGeom>
        <a:noFill/>
        <a:ln w="12700">
          <a:solidFill>
            <a:srgbClr val="000000"/>
          </a:solidFill>
          <a:miter lim="800000"/>
          <a:headEnd/>
          <a:tailEnd/>
        </a:ln>
      </xdr:spPr>
    </xdr:pic>
    <xdr:clientData/>
  </xdr:twoCellAnchor>
  <xdr:twoCellAnchor>
    <xdr:from>
      <xdr:col>8</xdr:col>
      <xdr:colOff>922020</xdr:colOff>
      <xdr:row>28</xdr:row>
      <xdr:rowOff>129540</xdr:rowOff>
    </xdr:from>
    <xdr:to>
      <xdr:col>10</xdr:col>
      <xdr:colOff>22860</xdr:colOff>
      <xdr:row>39</xdr:row>
      <xdr:rowOff>137160</xdr:rowOff>
    </xdr:to>
    <xdr:pic>
      <xdr:nvPicPr>
        <xdr:cNvPr id="2038" name="Picture 3" descr="Точки на крыле TpsDig"/>
        <xdr:cNvPicPr>
          <a:picLocks noChangeAspect="1" noChangeArrowheads="1"/>
        </xdr:cNvPicPr>
      </xdr:nvPicPr>
      <xdr:blipFill>
        <a:blip xmlns:r="http://schemas.openxmlformats.org/officeDocument/2006/relationships" r:embed="rId2" cstate="print">
          <a:lum bright="10000"/>
        </a:blip>
        <a:srcRect/>
        <a:stretch>
          <a:fillRect/>
        </a:stretch>
      </xdr:blipFill>
      <xdr:spPr bwMode="auto">
        <a:xfrm>
          <a:off x="6027420" y="4404360"/>
          <a:ext cx="3093720" cy="1844040"/>
        </a:xfrm>
        <a:prstGeom prst="rect">
          <a:avLst/>
        </a:prstGeom>
        <a:noFill/>
        <a:ln w="12700">
          <a:solidFill>
            <a:srgbClr val="000000"/>
          </a:solidFill>
          <a:miter lim="800000"/>
          <a:headEnd/>
          <a:tailEnd/>
        </a:ln>
      </xdr:spPr>
    </xdr:pic>
    <xdr:clientData/>
  </xdr:twoCellAnchor>
  <xdr:twoCellAnchor>
    <xdr:from>
      <xdr:col>5</xdr:col>
      <xdr:colOff>32385</xdr:colOff>
      <xdr:row>27</xdr:row>
      <xdr:rowOff>17145</xdr:rowOff>
    </xdr:from>
    <xdr:to>
      <xdr:col>9</xdr:col>
      <xdr:colOff>600075</xdr:colOff>
      <xdr:row>28</xdr:row>
      <xdr:rowOff>95250</xdr:rowOff>
    </xdr:to>
    <xdr:sp macro="" textlink="">
      <xdr:nvSpPr>
        <xdr:cNvPr id="7172" name="Text Box 4"/>
        <xdr:cNvSpPr txBox="1">
          <a:spLocks noChangeArrowheads="1"/>
        </xdr:cNvSpPr>
      </xdr:nvSpPr>
      <xdr:spPr bwMode="auto">
        <a:xfrm>
          <a:off x="2937510" y="4141470"/>
          <a:ext cx="6149340" cy="230505"/>
        </a:xfrm>
        <a:prstGeom prst="rect">
          <a:avLst/>
        </a:prstGeom>
        <a:solidFill>
          <a:srgbClr val="FFFF00">
            <a:alpha val="60001"/>
          </a:srgbClr>
        </a:solidFill>
        <a:ln w="12700">
          <a:solidFill>
            <a:srgbClr val="000000"/>
          </a:solidFill>
          <a:miter lim="800000"/>
          <a:headEnd/>
          <a:tailEnd/>
        </a:ln>
      </xdr:spPr>
      <xdr:txBody>
        <a:bodyPr vertOverflow="clip" wrap="square" lIns="0" tIns="0" rIns="0" bIns="0" anchor="t" upright="1"/>
        <a:lstStyle/>
        <a:p>
          <a:pPr algn="ctr" rtl="0">
            <a:defRPr sz="1000"/>
          </a:pPr>
          <a:r>
            <a:rPr lang="ru-RU" sz="1000" b="1" i="0" u="none" strike="noStrike" baseline="0">
              <a:solidFill>
                <a:srgbClr val="993300"/>
              </a:solidFill>
              <a:latin typeface="Arial"/>
              <a:cs typeface="Arial"/>
            </a:rPr>
            <a:t>Порядок следования точек в программах CooRecorder (слева) и TpsDig (справа)</a:t>
          </a:r>
        </a:p>
      </xdr:txBody>
    </xdr:sp>
    <xdr:clientData/>
  </xdr:twoCellAnchor>
  <xdr:twoCellAnchor editAs="oneCell">
    <xdr:from>
      <xdr:col>8</xdr:col>
      <xdr:colOff>2651760</xdr:colOff>
      <xdr:row>17</xdr:row>
      <xdr:rowOff>152400</xdr:rowOff>
    </xdr:from>
    <xdr:to>
      <xdr:col>9</xdr:col>
      <xdr:colOff>541020</xdr:colOff>
      <xdr:row>26</xdr:row>
      <xdr:rowOff>68580</xdr:rowOff>
    </xdr:to>
    <xdr:pic>
      <xdr:nvPicPr>
        <xdr:cNvPr id="2040" name="Picture 19" descr="А ты знаешь породу своих пчел"/>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blip>
        <a:srcRect/>
        <a:stretch>
          <a:fillRect/>
        </a:stretch>
      </xdr:blipFill>
      <xdr:spPr bwMode="auto">
        <a:xfrm>
          <a:off x="7757160" y="2750820"/>
          <a:ext cx="1272540" cy="128778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533400</xdr:colOff>
      <xdr:row>0</xdr:row>
      <xdr:rowOff>22860</xdr:rowOff>
    </xdr:from>
    <xdr:to>
      <xdr:col>17</xdr:col>
      <xdr:colOff>396240</xdr:colOff>
      <xdr:row>19</xdr:row>
      <xdr:rowOff>15240</xdr:rowOff>
    </xdr:to>
    <xdr:graphicFrame macro="">
      <xdr:nvGraphicFramePr>
        <xdr:cNvPr id="1475826" name="Диаграмма 2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19</xdr:row>
      <xdr:rowOff>38100</xdr:rowOff>
    </xdr:from>
    <xdr:to>
      <xdr:col>17</xdr:col>
      <xdr:colOff>403860</xdr:colOff>
      <xdr:row>42</xdr:row>
      <xdr:rowOff>0</xdr:rowOff>
    </xdr:to>
    <xdr:graphicFrame macro="">
      <xdr:nvGraphicFramePr>
        <xdr:cNvPr id="1475827" name="Диаграмма 3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83820</xdr:rowOff>
    </xdr:from>
    <xdr:to>
      <xdr:col>0</xdr:col>
      <xdr:colOff>0</xdr:colOff>
      <xdr:row>74</xdr:row>
      <xdr:rowOff>83820</xdr:rowOff>
    </xdr:to>
    <xdr:sp macro="" textlink="">
      <xdr:nvSpPr>
        <xdr:cNvPr id="1475828" name="Rectangle 1050"/>
        <xdr:cNvSpPr>
          <a:spLocks noChangeArrowheads="1"/>
        </xdr:cNvSpPr>
      </xdr:nvSpPr>
      <xdr:spPr bwMode="auto">
        <a:xfrm>
          <a:off x="0" y="12656820"/>
          <a:ext cx="0" cy="0"/>
        </a:xfrm>
        <a:prstGeom prst="rect">
          <a:avLst/>
        </a:prstGeom>
        <a:solidFill>
          <a:srgbClr val="FFFFFF">
            <a:alpha val="0"/>
          </a:srgbClr>
        </a:solidFill>
        <a:ln w="19050">
          <a:solidFill>
            <a:srgbClr val="FF0000"/>
          </a:solidFill>
          <a:miter lim="800000"/>
          <a:headEnd/>
          <a:tailEnd/>
        </a:ln>
      </xdr:spPr>
    </xdr:sp>
    <xdr:clientData/>
  </xdr:twoCellAnchor>
  <xdr:twoCellAnchor>
    <xdr:from>
      <xdr:col>0</xdr:col>
      <xdr:colOff>30480</xdr:colOff>
      <xdr:row>19</xdr:row>
      <xdr:rowOff>38100</xdr:rowOff>
    </xdr:from>
    <xdr:to>
      <xdr:col>8</xdr:col>
      <xdr:colOff>525780</xdr:colOff>
      <xdr:row>41</xdr:row>
      <xdr:rowOff>167640</xdr:rowOff>
    </xdr:to>
    <xdr:graphicFrame macro="">
      <xdr:nvGraphicFramePr>
        <xdr:cNvPr id="1475829" name="Диаграмма 1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0</xdr:row>
      <xdr:rowOff>22860</xdr:rowOff>
    </xdr:from>
    <xdr:to>
      <xdr:col>8</xdr:col>
      <xdr:colOff>518160</xdr:colOff>
      <xdr:row>19</xdr:row>
      <xdr:rowOff>15240</xdr:rowOff>
    </xdr:to>
    <xdr:graphicFrame macro="">
      <xdr:nvGraphicFramePr>
        <xdr:cNvPr id="1475830" name="Диаграмма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0.72429</cdr:x>
      <cdr:y>0.49977</cdr:y>
    </cdr:from>
    <cdr:to>
      <cdr:x>0.95819</cdr:x>
      <cdr:y>0.86763</cdr:y>
    </cdr:to>
    <cdr:sp macro="" textlink="">
      <cdr:nvSpPr>
        <cdr:cNvPr id="2" name="TextBox 1"/>
        <cdr:cNvSpPr txBox="1"/>
      </cdr:nvSpPr>
      <cdr:spPr>
        <a:xfrm xmlns:a="http://schemas.openxmlformats.org/drawingml/2006/main">
          <a:off x="3907516" y="1639824"/>
          <a:ext cx="1261881" cy="1207008"/>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Данная цветовая схема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применена на всех </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для выделения</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областей породных</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диапазонов.</a:t>
          </a:r>
        </a:p>
        <a:p xmlns:a="http://schemas.openxmlformats.org/drawingml/2006/main">
          <a:pPr algn="ctr">
            <a:defRPr sz="700" b="1" i="0" u="none" strike="noStrike" kern="1200" baseline="0">
              <a:solidFill>
                <a:srgbClr val="000000"/>
              </a:solidFill>
              <a:latin typeface="Arial Cyr"/>
              <a:ea typeface="Arial Cyr"/>
              <a:cs typeface="Arial Cyr"/>
            </a:defRPr>
          </a:pPr>
          <a:endParaRPr lang="en-US" sz="800" b="1" i="1" u="none" strike="noStrike" kern="1200" baseline="0">
            <a:solidFill>
              <a:srgbClr val="000000"/>
            </a:solidFill>
            <a:latin typeface="Arial Cyr"/>
            <a:ea typeface="Arial Cyr"/>
            <a:cs typeface="Arial Cyr"/>
          </a:endParaRP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Красной линией на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выделен</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доверительный интервал.</a:t>
          </a:r>
        </a:p>
      </cdr:txBody>
    </cdr:sp>
  </cdr:relSizeAnchor>
  <cdr:relSizeAnchor xmlns:cdr="http://schemas.openxmlformats.org/drawingml/2006/chartDrawing">
    <cdr:from>
      <cdr:x>0.70395</cdr:x>
      <cdr:y>0.268</cdr:y>
    </cdr:from>
    <cdr:to>
      <cdr:x>0.98757</cdr:x>
      <cdr:y>0.89735</cdr:y>
    </cdr:to>
    <cdr:sp macro="" textlink="">
      <cdr:nvSpPr>
        <cdr:cNvPr id="3" name="Скругленный прямоугольник 2"/>
        <cdr:cNvSpPr/>
      </cdr:nvSpPr>
      <cdr:spPr>
        <a:xfrm xmlns:a="http://schemas.openxmlformats.org/drawingml/2006/main">
          <a:off x="3797808" y="879354"/>
          <a:ext cx="1530096" cy="2065014"/>
        </a:xfrm>
        <a:prstGeom xmlns:a="http://schemas.openxmlformats.org/drawingml/2006/main" prst="roundRect">
          <a:avLst/>
        </a:prstGeom>
        <a:noFill xmlns:a="http://schemas.openxmlformats.org/drawingml/2006/main"/>
        <a:ln xmlns:a="http://schemas.openxmlformats.org/drawingml/2006/main" w="31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30480</xdr:colOff>
      <xdr:row>0</xdr:row>
      <xdr:rowOff>22860</xdr:rowOff>
    </xdr:from>
    <xdr:to>
      <xdr:col>8</xdr:col>
      <xdr:colOff>586740</xdr:colOff>
      <xdr:row>19</xdr:row>
      <xdr:rowOff>152400</xdr:rowOff>
    </xdr:to>
    <xdr:graphicFrame macro="">
      <xdr:nvGraphicFramePr>
        <xdr:cNvPr id="3326"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xdr:colOff>
      <xdr:row>0</xdr:row>
      <xdr:rowOff>22860</xdr:rowOff>
    </xdr:from>
    <xdr:to>
      <xdr:col>8</xdr:col>
      <xdr:colOff>579120</xdr:colOff>
      <xdr:row>19</xdr:row>
      <xdr:rowOff>129540</xdr:rowOff>
    </xdr:to>
    <xdr:graphicFrame macro="">
      <xdr:nvGraphicFramePr>
        <xdr:cNvPr id="4350"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8</xdr:col>
      <xdr:colOff>579120</xdr:colOff>
      <xdr:row>19</xdr:row>
      <xdr:rowOff>129540</xdr:rowOff>
    </xdr:to>
    <xdr:graphicFrame macro="">
      <xdr:nvGraphicFramePr>
        <xdr:cNvPr id="5374"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indexed="9"/>
    <pageSetUpPr fitToPage="1"/>
  </sheetPr>
  <dimension ref="A1:T263"/>
  <sheetViews>
    <sheetView showGridLines="0" topLeftCell="A91" workbookViewId="0">
      <selection activeCell="A105" sqref="A105:D204"/>
    </sheetView>
  </sheetViews>
  <sheetFormatPr defaultRowHeight="13.2" x14ac:dyDescent="0.25"/>
  <cols>
    <col min="1" max="15" width="12.6640625" style="17" customWidth="1"/>
    <col min="16" max="16" width="13.21875" style="17" customWidth="1"/>
  </cols>
  <sheetData>
    <row r="1" spans="1:20" x14ac:dyDescent="0.25">
      <c r="A1" s="188">
        <v>1</v>
      </c>
      <c r="B1" s="188"/>
      <c r="C1" s="188">
        <v>2</v>
      </c>
      <c r="D1" s="188"/>
      <c r="E1" s="188">
        <v>3</v>
      </c>
      <c r="F1" s="188"/>
      <c r="G1" s="188">
        <v>4</v>
      </c>
      <c r="H1" s="188"/>
      <c r="I1" s="188">
        <v>5</v>
      </c>
      <c r="J1" s="188"/>
      <c r="K1" s="188">
        <v>6</v>
      </c>
      <c r="L1" s="188"/>
      <c r="M1" s="188">
        <v>7</v>
      </c>
      <c r="N1" s="188"/>
      <c r="O1" s="188">
        <v>8</v>
      </c>
      <c r="P1" s="188"/>
      <c r="Q1" s="30" t="s">
        <v>143</v>
      </c>
      <c r="R1" t="b">
        <f>LEFT(J1,2)="LM"</f>
        <v>0</v>
      </c>
      <c r="S1" t="e">
        <f>VALUE(RIGHT(J1,LEN(J1)-3))</f>
        <v>#VALUE!</v>
      </c>
      <c r="T1" t="e">
        <f>ROUND(VALUE(RIGHT(J1,LEN(J1)-3)/8),0)&lt;&gt;VALUE(RIGHT(J1,LEN(J1)-3))/8</f>
        <v>#VALUE!</v>
      </c>
    </row>
    <row r="2" spans="1:20" x14ac:dyDescent="0.25">
      <c r="A2" s="29" t="s">
        <v>15</v>
      </c>
      <c r="B2" s="29" t="s">
        <v>16</v>
      </c>
      <c r="C2" s="29" t="s">
        <v>15</v>
      </c>
      <c r="D2" s="29" t="s">
        <v>16</v>
      </c>
      <c r="E2" s="29" t="s">
        <v>15</v>
      </c>
      <c r="F2" s="29" t="s">
        <v>16</v>
      </c>
      <c r="G2" s="29" t="s">
        <v>15</v>
      </c>
      <c r="H2" s="29" t="s">
        <v>16</v>
      </c>
      <c r="I2" s="29" t="s">
        <v>15</v>
      </c>
      <c r="J2" s="29" t="s">
        <v>16</v>
      </c>
      <c r="K2" s="29" t="s">
        <v>15</v>
      </c>
      <c r="L2" s="29" t="s">
        <v>16</v>
      </c>
      <c r="M2" s="29" t="s">
        <v>15</v>
      </c>
      <c r="N2" s="29" t="s">
        <v>16</v>
      </c>
      <c r="O2" s="29" t="s">
        <v>15</v>
      </c>
      <c r="P2" s="29" t="s">
        <v>16</v>
      </c>
      <c r="Q2" s="30"/>
    </row>
    <row r="3" spans="1:20" s="3" customFormat="1" x14ac:dyDescent="0.25">
      <c r="A3" s="75">
        <v>471000000</v>
      </c>
      <c r="B3" s="75">
        <v>878000000</v>
      </c>
      <c r="C3" s="75">
        <v>1762000000</v>
      </c>
      <c r="D3" s="75">
        <v>899000000</v>
      </c>
      <c r="E3" s="75">
        <v>999000000</v>
      </c>
      <c r="F3" s="75">
        <v>823000000</v>
      </c>
      <c r="G3" s="75">
        <v>667000000</v>
      </c>
      <c r="H3" s="75">
        <v>794000000</v>
      </c>
      <c r="I3" s="75">
        <v>1031000000</v>
      </c>
      <c r="J3" s="75">
        <v>590000000</v>
      </c>
      <c r="K3" s="75">
        <v>1180000000</v>
      </c>
      <c r="L3" s="75">
        <v>520000000</v>
      </c>
      <c r="M3" s="75">
        <v>1310000000</v>
      </c>
      <c r="N3" s="75">
        <v>530000000</v>
      </c>
      <c r="O3" s="75">
        <v>979000000</v>
      </c>
      <c r="P3" s="75">
        <v>261000000</v>
      </c>
      <c r="Q3" s="75"/>
    </row>
    <row r="4" spans="1:20" x14ac:dyDescent="0.25">
      <c r="A4" s="75">
        <v>486000000</v>
      </c>
      <c r="B4" s="75">
        <v>873000000</v>
      </c>
      <c r="C4" s="75">
        <v>1793000000</v>
      </c>
      <c r="D4" s="75">
        <v>866000000</v>
      </c>
      <c r="E4" s="75">
        <v>1049000000</v>
      </c>
      <c r="F4" s="75">
        <v>795000000</v>
      </c>
      <c r="G4" s="75">
        <v>694000000</v>
      </c>
      <c r="H4" s="75">
        <v>782000000</v>
      </c>
      <c r="I4" s="75">
        <v>1027000000</v>
      </c>
      <c r="J4" s="75">
        <v>570000000</v>
      </c>
      <c r="K4" s="75">
        <v>1188000000</v>
      </c>
      <c r="L4" s="75">
        <v>496000000</v>
      </c>
      <c r="M4" s="75">
        <v>1313000000</v>
      </c>
      <c r="N4" s="75">
        <v>508000000</v>
      </c>
      <c r="O4" s="75">
        <v>991000000</v>
      </c>
      <c r="P4" s="75">
        <v>233000000</v>
      </c>
      <c r="Q4" s="75"/>
    </row>
    <row r="5" spans="1:20" x14ac:dyDescent="0.25">
      <c r="A5" s="75">
        <v>483000000</v>
      </c>
      <c r="B5" s="75">
        <v>870000000</v>
      </c>
      <c r="C5" s="75">
        <v>1793000000</v>
      </c>
      <c r="D5" s="75">
        <v>866000000</v>
      </c>
      <c r="E5" s="75">
        <v>1049000000</v>
      </c>
      <c r="F5" s="75">
        <v>797000000</v>
      </c>
      <c r="G5" s="75">
        <v>691000000</v>
      </c>
      <c r="H5" s="75">
        <v>784000000</v>
      </c>
      <c r="I5" s="75">
        <v>1030000000</v>
      </c>
      <c r="J5" s="75">
        <v>569000000</v>
      </c>
      <c r="K5" s="75">
        <v>1188000000</v>
      </c>
      <c r="L5" s="75">
        <v>496000000</v>
      </c>
      <c r="M5" s="75">
        <v>1312000000</v>
      </c>
      <c r="N5" s="75">
        <v>508000000</v>
      </c>
      <c r="O5" s="75">
        <v>994000000</v>
      </c>
      <c r="P5" s="75">
        <v>235000000</v>
      </c>
      <c r="Q5" s="75"/>
    </row>
    <row r="6" spans="1:20" x14ac:dyDescent="0.25">
      <c r="A6" s="75">
        <v>502000000</v>
      </c>
      <c r="B6" s="75">
        <v>887000000</v>
      </c>
      <c r="C6" s="75">
        <v>1784000000</v>
      </c>
      <c r="D6" s="75">
        <v>864000000</v>
      </c>
      <c r="E6" s="75">
        <v>1039000000</v>
      </c>
      <c r="F6" s="75">
        <v>812000000</v>
      </c>
      <c r="G6" s="75">
        <v>703000000</v>
      </c>
      <c r="H6" s="75">
        <v>795000000</v>
      </c>
      <c r="I6" s="75">
        <v>1031000000</v>
      </c>
      <c r="J6" s="75">
        <v>583000000</v>
      </c>
      <c r="K6" s="75">
        <v>1201000000</v>
      </c>
      <c r="L6" s="75">
        <v>499000000</v>
      </c>
      <c r="M6" s="75">
        <v>1326000000</v>
      </c>
      <c r="N6" s="75">
        <v>505000000</v>
      </c>
      <c r="O6" s="75">
        <v>987000000</v>
      </c>
      <c r="P6" s="75">
        <v>243000000</v>
      </c>
      <c r="Q6" s="75"/>
    </row>
    <row r="7" spans="1:20" x14ac:dyDescent="0.25">
      <c r="A7" s="75">
        <v>492000000</v>
      </c>
      <c r="B7" s="75">
        <v>875000000</v>
      </c>
      <c r="C7" s="75">
        <v>1781000000</v>
      </c>
      <c r="D7" s="75">
        <v>880000000</v>
      </c>
      <c r="E7" s="75">
        <v>1059000000</v>
      </c>
      <c r="F7" s="75">
        <v>810000000</v>
      </c>
      <c r="G7" s="75">
        <v>713000000</v>
      </c>
      <c r="H7" s="75">
        <v>789000000</v>
      </c>
      <c r="I7" s="75">
        <v>1036000000</v>
      </c>
      <c r="J7" s="75">
        <v>585000000</v>
      </c>
      <c r="K7" s="75">
        <v>1221000000</v>
      </c>
      <c r="L7" s="75">
        <v>500000000</v>
      </c>
      <c r="M7" s="75">
        <v>1333000000</v>
      </c>
      <c r="N7" s="75">
        <v>511000000</v>
      </c>
      <c r="O7" s="75">
        <v>1009000000</v>
      </c>
      <c r="P7" s="75">
        <v>236000000</v>
      </c>
      <c r="Q7" s="75"/>
    </row>
    <row r="8" spans="1:20" x14ac:dyDescent="0.25">
      <c r="A8" s="75">
        <v>478000000</v>
      </c>
      <c r="B8" s="75">
        <v>875000000</v>
      </c>
      <c r="C8" s="75">
        <v>1757000000</v>
      </c>
      <c r="D8" s="75">
        <v>880000000</v>
      </c>
      <c r="E8" s="75">
        <v>1028000000</v>
      </c>
      <c r="F8" s="75">
        <v>815000000</v>
      </c>
      <c r="G8" s="75">
        <v>678000000</v>
      </c>
      <c r="H8" s="75">
        <v>793000000</v>
      </c>
      <c r="I8" s="75">
        <v>1031000000</v>
      </c>
      <c r="J8" s="75">
        <v>585000000</v>
      </c>
      <c r="K8" s="75">
        <v>1191000000</v>
      </c>
      <c r="L8" s="75">
        <v>507000000</v>
      </c>
      <c r="M8" s="75">
        <v>1317000000</v>
      </c>
      <c r="N8" s="75">
        <v>517000000</v>
      </c>
      <c r="O8" s="75">
        <v>987000000</v>
      </c>
      <c r="P8" s="75">
        <v>238000000</v>
      </c>
      <c r="Q8" s="75"/>
    </row>
    <row r="9" spans="1:20" x14ac:dyDescent="0.25">
      <c r="A9" s="75">
        <v>488000000</v>
      </c>
      <c r="B9" s="75">
        <v>842000000</v>
      </c>
      <c r="C9" s="75">
        <v>1780000000</v>
      </c>
      <c r="D9" s="75">
        <v>858000000</v>
      </c>
      <c r="E9" s="75">
        <v>1023000000</v>
      </c>
      <c r="F9" s="75">
        <v>778000000</v>
      </c>
      <c r="G9" s="75">
        <v>703000000</v>
      </c>
      <c r="H9" s="75">
        <v>754000000</v>
      </c>
      <c r="I9" s="75">
        <v>1037000000</v>
      </c>
      <c r="J9" s="75">
        <v>551000000</v>
      </c>
      <c r="K9" s="75">
        <v>1199000000</v>
      </c>
      <c r="L9" s="75">
        <v>472000000</v>
      </c>
      <c r="M9" s="75">
        <v>1324000000</v>
      </c>
      <c r="N9" s="75">
        <v>485000000</v>
      </c>
      <c r="O9" s="75">
        <v>998000000</v>
      </c>
      <c r="P9" s="75">
        <v>214000000</v>
      </c>
      <c r="Q9" s="75"/>
    </row>
    <row r="10" spans="1:20" x14ac:dyDescent="0.25">
      <c r="A10" s="75">
        <v>492000000</v>
      </c>
      <c r="B10" s="75">
        <v>881333330</v>
      </c>
      <c r="C10" s="75">
        <v>1785000000</v>
      </c>
      <c r="D10" s="75">
        <v>872000000</v>
      </c>
      <c r="E10" s="75">
        <v>1041000000</v>
      </c>
      <c r="F10" s="75">
        <v>805000000</v>
      </c>
      <c r="G10" s="75">
        <v>710000000</v>
      </c>
      <c r="H10" s="75">
        <v>790000000</v>
      </c>
      <c r="I10" s="75">
        <v>1045000000</v>
      </c>
      <c r="J10" s="75">
        <v>574000000</v>
      </c>
      <c r="K10" s="75">
        <v>1203000000</v>
      </c>
      <c r="L10" s="75">
        <v>494000000</v>
      </c>
      <c r="M10" s="75">
        <v>1324000000</v>
      </c>
      <c r="N10" s="75">
        <v>505000000</v>
      </c>
      <c r="O10" s="75">
        <v>982000000</v>
      </c>
      <c r="P10" s="75">
        <v>236000000</v>
      </c>
      <c r="Q10" s="75"/>
    </row>
    <row r="11" spans="1:20" x14ac:dyDescent="0.25">
      <c r="A11" s="75">
        <v>485000000</v>
      </c>
      <c r="B11" s="75">
        <v>867000000</v>
      </c>
      <c r="C11" s="75">
        <v>1761000000</v>
      </c>
      <c r="D11" s="75">
        <v>841000000</v>
      </c>
      <c r="E11" s="75">
        <v>1032000000</v>
      </c>
      <c r="F11" s="75">
        <v>786000000</v>
      </c>
      <c r="G11" s="75">
        <v>709000000</v>
      </c>
      <c r="H11" s="75">
        <v>768000000</v>
      </c>
      <c r="I11" s="75">
        <v>1031000000</v>
      </c>
      <c r="J11" s="75">
        <v>558000000</v>
      </c>
      <c r="K11" s="75">
        <v>1182000000</v>
      </c>
      <c r="L11" s="75">
        <v>483000000</v>
      </c>
      <c r="M11" s="75">
        <v>1303000000</v>
      </c>
      <c r="N11" s="75">
        <v>493000000</v>
      </c>
      <c r="O11" s="75">
        <v>967000000</v>
      </c>
      <c r="P11" s="75">
        <v>226000000</v>
      </c>
      <c r="Q11" s="75"/>
    </row>
    <row r="12" spans="1:20" x14ac:dyDescent="0.25">
      <c r="A12" s="75">
        <v>468000000</v>
      </c>
      <c r="B12" s="75">
        <v>875999999</v>
      </c>
      <c r="C12" s="75">
        <v>1767999994</v>
      </c>
      <c r="D12" s="75">
        <v>864000000</v>
      </c>
      <c r="E12" s="75">
        <v>1032000000</v>
      </c>
      <c r="F12" s="75">
        <v>797000000</v>
      </c>
      <c r="G12" s="75">
        <v>681000000</v>
      </c>
      <c r="H12" s="75">
        <v>784000000</v>
      </c>
      <c r="I12" s="75">
        <v>1016000000</v>
      </c>
      <c r="J12" s="75">
        <v>570000000</v>
      </c>
      <c r="K12" s="75">
        <v>1181000000</v>
      </c>
      <c r="L12" s="75">
        <v>490000000</v>
      </c>
      <c r="M12" s="75">
        <v>1302000000</v>
      </c>
      <c r="N12" s="75">
        <v>498000000</v>
      </c>
      <c r="O12" s="75">
        <v>971000000</v>
      </c>
      <c r="P12" s="75">
        <v>232000000</v>
      </c>
      <c r="Q12" s="75"/>
    </row>
    <row r="13" spans="1:20" x14ac:dyDescent="0.25">
      <c r="A13" s="75">
        <v>475000000</v>
      </c>
      <c r="B13" s="75">
        <v>897000000</v>
      </c>
      <c r="C13" s="75">
        <v>1783000000</v>
      </c>
      <c r="D13" s="75">
        <v>882000000</v>
      </c>
      <c r="E13" s="75">
        <v>1014000000</v>
      </c>
      <c r="F13" s="75">
        <v>827000000</v>
      </c>
      <c r="G13" s="75">
        <v>693000000</v>
      </c>
      <c r="H13" s="75">
        <v>806000000</v>
      </c>
      <c r="I13" s="75">
        <v>1042000000</v>
      </c>
      <c r="J13" s="75">
        <v>595000000</v>
      </c>
      <c r="K13" s="75">
        <v>1202000006</v>
      </c>
      <c r="L13" s="75">
        <v>518000000</v>
      </c>
      <c r="M13" s="75">
        <v>1326000000</v>
      </c>
      <c r="N13" s="75">
        <v>527000000</v>
      </c>
      <c r="O13" s="75">
        <v>987000000</v>
      </c>
      <c r="P13" s="75">
        <v>267000000</v>
      </c>
      <c r="Q13" s="75"/>
    </row>
    <row r="14" spans="1:20" x14ac:dyDescent="0.25">
      <c r="A14" s="75">
        <v>502000000</v>
      </c>
      <c r="B14" s="75">
        <v>885000000</v>
      </c>
      <c r="C14" s="75">
        <v>1783000000</v>
      </c>
      <c r="D14" s="75">
        <v>907000000</v>
      </c>
      <c r="E14" s="75">
        <v>1044000000</v>
      </c>
      <c r="F14" s="75">
        <v>819000000</v>
      </c>
      <c r="G14" s="75">
        <v>705000000</v>
      </c>
      <c r="H14" s="75">
        <v>801000000</v>
      </c>
      <c r="I14" s="75">
        <v>1063000000</v>
      </c>
      <c r="J14" s="75">
        <v>591000000</v>
      </c>
      <c r="K14" s="75">
        <v>1218000000</v>
      </c>
      <c r="L14" s="75">
        <v>517000000</v>
      </c>
      <c r="M14" s="75">
        <v>1333000000</v>
      </c>
      <c r="N14" s="75">
        <v>528000000</v>
      </c>
      <c r="O14" s="75">
        <v>1010000000</v>
      </c>
      <c r="P14" s="75">
        <v>249000000</v>
      </c>
      <c r="Q14" s="75"/>
    </row>
    <row r="15" spans="1:20" x14ac:dyDescent="0.25">
      <c r="A15" s="75">
        <v>487000000</v>
      </c>
      <c r="B15" s="75">
        <v>891000000</v>
      </c>
      <c r="C15" s="75">
        <v>1755000000</v>
      </c>
      <c r="D15" s="75">
        <v>873000000</v>
      </c>
      <c r="E15" s="75">
        <v>1046000000</v>
      </c>
      <c r="F15" s="75">
        <v>815000000</v>
      </c>
      <c r="G15" s="75">
        <v>680000006</v>
      </c>
      <c r="H15" s="75">
        <v>805333331</v>
      </c>
      <c r="I15" s="75">
        <v>1024000000</v>
      </c>
      <c r="J15" s="75">
        <v>587000000</v>
      </c>
      <c r="K15" s="75">
        <v>1182000000</v>
      </c>
      <c r="L15" s="75">
        <v>513000000</v>
      </c>
      <c r="M15" s="75">
        <v>1304000000</v>
      </c>
      <c r="N15" s="75">
        <v>524000000</v>
      </c>
      <c r="O15" s="75">
        <v>972000000</v>
      </c>
      <c r="P15" s="75">
        <v>257000000</v>
      </c>
      <c r="Q15" s="75"/>
    </row>
    <row r="16" spans="1:20" x14ac:dyDescent="0.25">
      <c r="A16" s="75">
        <v>508000000</v>
      </c>
      <c r="B16" s="75">
        <v>887000000</v>
      </c>
      <c r="C16" s="75">
        <v>1795500000</v>
      </c>
      <c r="D16" s="75">
        <v>870500002</v>
      </c>
      <c r="E16" s="75">
        <v>1046000000</v>
      </c>
      <c r="F16" s="75">
        <v>806000000</v>
      </c>
      <c r="G16" s="75">
        <v>711000000</v>
      </c>
      <c r="H16" s="75">
        <v>792000000</v>
      </c>
      <c r="I16" s="75">
        <v>1036000000</v>
      </c>
      <c r="J16" s="75">
        <v>585000000</v>
      </c>
      <c r="K16" s="75">
        <v>1212000000</v>
      </c>
      <c r="L16" s="75">
        <v>501000000</v>
      </c>
      <c r="M16" s="75">
        <v>1332000000</v>
      </c>
      <c r="N16" s="75">
        <v>513000000</v>
      </c>
      <c r="O16" s="75">
        <v>984000000</v>
      </c>
      <c r="P16" s="75">
        <v>245000000</v>
      </c>
      <c r="Q16" s="75"/>
    </row>
    <row r="17" spans="1:17" x14ac:dyDescent="0.25">
      <c r="A17" s="75">
        <v>471999994</v>
      </c>
      <c r="B17" s="75">
        <v>879999995</v>
      </c>
      <c r="C17" s="75">
        <v>1776000000</v>
      </c>
      <c r="D17" s="75">
        <v>862000000</v>
      </c>
      <c r="E17" s="75">
        <v>1029000000</v>
      </c>
      <c r="F17" s="75">
        <v>796000000</v>
      </c>
      <c r="G17" s="75">
        <v>690000000</v>
      </c>
      <c r="H17" s="75">
        <v>781000000</v>
      </c>
      <c r="I17" s="75">
        <v>1035000000</v>
      </c>
      <c r="J17" s="75">
        <v>571000000</v>
      </c>
      <c r="K17" s="75">
        <v>1193000000</v>
      </c>
      <c r="L17" s="75">
        <v>497000000</v>
      </c>
      <c r="M17" s="75">
        <v>1302000000</v>
      </c>
      <c r="N17" s="75">
        <v>505000000</v>
      </c>
      <c r="O17" s="75">
        <v>982000000</v>
      </c>
      <c r="P17" s="75">
        <v>248000000</v>
      </c>
      <c r="Q17" s="75"/>
    </row>
    <row r="18" spans="1:17" x14ac:dyDescent="0.25">
      <c r="A18" s="75">
        <v>502000000</v>
      </c>
      <c r="B18" s="75">
        <v>849000000</v>
      </c>
      <c r="C18" s="75">
        <v>1769000000</v>
      </c>
      <c r="D18" s="75">
        <v>831000000</v>
      </c>
      <c r="E18" s="75">
        <v>1032000000</v>
      </c>
      <c r="F18" s="75">
        <v>778000000</v>
      </c>
      <c r="G18" s="75">
        <v>711000000</v>
      </c>
      <c r="H18" s="75">
        <v>760000000</v>
      </c>
      <c r="I18" s="75">
        <v>1040000000</v>
      </c>
      <c r="J18" s="75">
        <v>547000000</v>
      </c>
      <c r="K18" s="75">
        <v>1198000000</v>
      </c>
      <c r="L18" s="75">
        <v>467000000</v>
      </c>
      <c r="M18" s="75">
        <v>1316000000</v>
      </c>
      <c r="N18" s="75">
        <v>476000000</v>
      </c>
      <c r="O18" s="75">
        <v>992000000</v>
      </c>
      <c r="P18" s="75">
        <v>215000000</v>
      </c>
      <c r="Q18" s="75"/>
    </row>
    <row r="19" spans="1:17" x14ac:dyDescent="0.25">
      <c r="A19" s="75">
        <v>497000000</v>
      </c>
      <c r="B19" s="75">
        <v>888000000</v>
      </c>
      <c r="C19" s="75">
        <v>1776000000</v>
      </c>
      <c r="D19" s="75">
        <v>862000000</v>
      </c>
      <c r="E19" s="75">
        <v>1064000000</v>
      </c>
      <c r="F19" s="75">
        <v>811000000</v>
      </c>
      <c r="G19" s="75">
        <v>717000000</v>
      </c>
      <c r="H19" s="75">
        <v>801000000</v>
      </c>
      <c r="I19" s="75">
        <v>1039000000</v>
      </c>
      <c r="J19" s="75">
        <v>578000000</v>
      </c>
      <c r="K19" s="75">
        <v>1201000000</v>
      </c>
      <c r="L19" s="75">
        <v>503000000</v>
      </c>
      <c r="M19" s="75">
        <v>1318000000</v>
      </c>
      <c r="N19" s="75">
        <v>512000000</v>
      </c>
      <c r="O19" s="75">
        <v>1005000000</v>
      </c>
      <c r="P19" s="75">
        <v>247000000</v>
      </c>
      <c r="Q19" s="75"/>
    </row>
    <row r="20" spans="1:17" x14ac:dyDescent="0.25">
      <c r="A20" s="75">
        <v>487000000</v>
      </c>
      <c r="B20" s="75">
        <v>880000000</v>
      </c>
      <c r="C20" s="75">
        <v>1766000000</v>
      </c>
      <c r="D20" s="75">
        <v>866000000</v>
      </c>
      <c r="E20" s="75">
        <v>1051000000</v>
      </c>
      <c r="F20" s="75">
        <v>804000000</v>
      </c>
      <c r="G20" s="75">
        <v>704000000</v>
      </c>
      <c r="H20" s="75">
        <v>792000000</v>
      </c>
      <c r="I20" s="75">
        <v>1045000000</v>
      </c>
      <c r="J20" s="75">
        <v>580000000</v>
      </c>
      <c r="K20" s="75">
        <v>1197000000</v>
      </c>
      <c r="L20" s="75">
        <v>502000000</v>
      </c>
      <c r="M20" s="75">
        <v>1322000000</v>
      </c>
      <c r="N20" s="75">
        <v>508000000</v>
      </c>
      <c r="O20" s="75">
        <v>994000000</v>
      </c>
      <c r="P20" s="75">
        <v>243000000</v>
      </c>
      <c r="Q20" s="75"/>
    </row>
    <row r="21" spans="1:17" x14ac:dyDescent="0.25">
      <c r="A21" s="75">
        <v>511000000</v>
      </c>
      <c r="B21" s="75">
        <v>908000000</v>
      </c>
      <c r="C21" s="75">
        <v>1803000000</v>
      </c>
      <c r="D21" s="75">
        <v>878000000</v>
      </c>
      <c r="E21" s="75">
        <v>1054000000</v>
      </c>
      <c r="F21" s="75">
        <v>822000000</v>
      </c>
      <c r="G21" s="75">
        <v>725000000</v>
      </c>
      <c r="H21" s="75">
        <v>813000000</v>
      </c>
      <c r="I21" s="75">
        <v>1074000000</v>
      </c>
      <c r="J21" s="75">
        <v>590000000</v>
      </c>
      <c r="K21" s="75">
        <v>1226000000</v>
      </c>
      <c r="L21" s="75">
        <v>515000000</v>
      </c>
      <c r="M21" s="75">
        <v>1345000000</v>
      </c>
      <c r="N21" s="75">
        <v>524000000</v>
      </c>
      <c r="O21" s="75">
        <v>1003000000</v>
      </c>
      <c r="P21" s="75">
        <v>266000000</v>
      </c>
      <c r="Q21" s="75"/>
    </row>
    <row r="22" spans="1:17" x14ac:dyDescent="0.25">
      <c r="A22" s="75">
        <v>482000000</v>
      </c>
      <c r="B22" s="75">
        <v>873000000</v>
      </c>
      <c r="C22" s="75">
        <v>1767000000</v>
      </c>
      <c r="D22" s="75">
        <v>854000000</v>
      </c>
      <c r="E22" s="75">
        <v>1020000000</v>
      </c>
      <c r="F22" s="75">
        <v>800000000</v>
      </c>
      <c r="G22" s="75">
        <v>692000000</v>
      </c>
      <c r="H22" s="75">
        <v>785000000</v>
      </c>
      <c r="I22" s="75">
        <v>1037000000</v>
      </c>
      <c r="J22" s="75">
        <v>569000000</v>
      </c>
      <c r="K22" s="75">
        <v>1182000000</v>
      </c>
      <c r="L22" s="75">
        <v>495000000</v>
      </c>
      <c r="M22" s="75">
        <v>1298000000</v>
      </c>
      <c r="N22" s="75">
        <v>505000000</v>
      </c>
      <c r="O22" s="75">
        <v>973000000</v>
      </c>
      <c r="P22" s="75">
        <v>240000000</v>
      </c>
      <c r="Q22" s="75"/>
    </row>
    <row r="23" spans="1:17" x14ac:dyDescent="0.25">
      <c r="A23" s="75">
        <v>480000000</v>
      </c>
      <c r="B23" s="75">
        <v>900000000</v>
      </c>
      <c r="C23" s="75">
        <v>1737999994</v>
      </c>
      <c r="D23" s="75">
        <v>877999997</v>
      </c>
      <c r="E23" s="75">
        <v>1003000000</v>
      </c>
      <c r="F23" s="75">
        <v>822000000</v>
      </c>
      <c r="G23" s="75">
        <v>667000000</v>
      </c>
      <c r="H23" s="75">
        <v>814000000</v>
      </c>
      <c r="I23" s="75">
        <v>1013000000</v>
      </c>
      <c r="J23" s="75">
        <v>595000000</v>
      </c>
      <c r="K23" s="75">
        <v>1154000000</v>
      </c>
      <c r="L23" s="75">
        <v>520000000</v>
      </c>
      <c r="M23" s="75">
        <v>1273000000</v>
      </c>
      <c r="N23" s="75">
        <v>527000000</v>
      </c>
      <c r="O23" s="75">
        <v>945000000</v>
      </c>
      <c r="P23" s="75">
        <v>271000000</v>
      </c>
      <c r="Q23" s="75"/>
    </row>
    <row r="24" spans="1:17" x14ac:dyDescent="0.25">
      <c r="A24" s="75">
        <v>480000000</v>
      </c>
      <c r="B24" s="75">
        <v>905000000</v>
      </c>
      <c r="C24" s="75">
        <v>1751000000</v>
      </c>
      <c r="D24" s="75">
        <v>876000000</v>
      </c>
      <c r="E24" s="75">
        <v>1017000000</v>
      </c>
      <c r="F24" s="75">
        <v>827000000</v>
      </c>
      <c r="G24" s="75">
        <v>682000000</v>
      </c>
      <c r="H24" s="75">
        <v>812000000</v>
      </c>
      <c r="I24" s="75">
        <v>1023000000</v>
      </c>
      <c r="J24" s="75">
        <v>590000000</v>
      </c>
      <c r="K24" s="75">
        <v>1178000000</v>
      </c>
      <c r="L24" s="75">
        <v>515000000</v>
      </c>
      <c r="M24" s="75">
        <v>1301000000</v>
      </c>
      <c r="N24" s="75">
        <v>519000000</v>
      </c>
      <c r="O24" s="75">
        <v>968000000</v>
      </c>
      <c r="P24" s="75">
        <v>260000000</v>
      </c>
      <c r="Q24" s="75"/>
    </row>
    <row r="25" spans="1:17" x14ac:dyDescent="0.25">
      <c r="A25" s="75">
        <v>480000000</v>
      </c>
      <c r="B25" s="75">
        <v>855999997</v>
      </c>
      <c r="C25" s="75">
        <v>1778000000</v>
      </c>
      <c r="D25" s="75">
        <v>847000000</v>
      </c>
      <c r="E25" s="75">
        <v>1042000000</v>
      </c>
      <c r="F25" s="75">
        <v>781000000</v>
      </c>
      <c r="G25" s="75">
        <v>699000000</v>
      </c>
      <c r="H25" s="75">
        <v>765000000</v>
      </c>
      <c r="I25" s="75">
        <v>1043000000</v>
      </c>
      <c r="J25" s="75">
        <v>564000000</v>
      </c>
      <c r="K25" s="75">
        <v>1191000000</v>
      </c>
      <c r="L25" s="75">
        <v>489000000</v>
      </c>
      <c r="M25" s="75">
        <v>1306000000</v>
      </c>
      <c r="N25" s="75">
        <v>498000000</v>
      </c>
      <c r="O25" s="75">
        <v>996000000</v>
      </c>
      <c r="P25" s="75">
        <v>237000000</v>
      </c>
      <c r="Q25" s="75"/>
    </row>
    <row r="26" spans="1:17" x14ac:dyDescent="0.25">
      <c r="A26" s="75">
        <v>512000000</v>
      </c>
      <c r="B26" s="75">
        <v>871000000</v>
      </c>
      <c r="C26" s="75">
        <v>1790000000</v>
      </c>
      <c r="D26" s="75">
        <v>864000000</v>
      </c>
      <c r="E26" s="75">
        <v>1057000000</v>
      </c>
      <c r="F26" s="75">
        <v>801000000</v>
      </c>
      <c r="G26" s="75">
        <v>715000000</v>
      </c>
      <c r="H26" s="75">
        <v>782000000</v>
      </c>
      <c r="I26" s="75">
        <v>1056000000</v>
      </c>
      <c r="J26" s="75">
        <v>578000000</v>
      </c>
      <c r="K26" s="75">
        <v>1220000000</v>
      </c>
      <c r="L26" s="75">
        <v>495000000</v>
      </c>
      <c r="M26" s="75">
        <v>1345000000</v>
      </c>
      <c r="N26" s="75">
        <v>509000000</v>
      </c>
      <c r="O26" s="75">
        <v>1031000000</v>
      </c>
      <c r="P26" s="75">
        <v>233000000</v>
      </c>
      <c r="Q26" s="75"/>
    </row>
    <row r="27" spans="1:17" x14ac:dyDescent="0.25">
      <c r="A27" s="75">
        <v>486000000</v>
      </c>
      <c r="B27" s="75">
        <v>884000000</v>
      </c>
      <c r="C27" s="75">
        <v>1789000000</v>
      </c>
      <c r="D27" s="75">
        <v>885000000</v>
      </c>
      <c r="E27" s="75">
        <v>1061000000</v>
      </c>
      <c r="F27" s="75">
        <v>818000000</v>
      </c>
      <c r="G27" s="75">
        <v>702000000</v>
      </c>
      <c r="H27" s="75">
        <v>800000000</v>
      </c>
      <c r="I27" s="75">
        <v>1060000000</v>
      </c>
      <c r="J27" s="75">
        <v>586000000</v>
      </c>
      <c r="K27" s="75">
        <v>1223000000</v>
      </c>
      <c r="L27" s="75">
        <v>506000000</v>
      </c>
      <c r="M27" s="75">
        <v>1342000000</v>
      </c>
      <c r="N27" s="75">
        <v>522000000</v>
      </c>
      <c r="O27" s="75">
        <v>1010000000</v>
      </c>
      <c r="P27" s="75">
        <v>239000000</v>
      </c>
      <c r="Q27" s="75"/>
    </row>
    <row r="28" spans="1:17" x14ac:dyDescent="0.25">
      <c r="A28" s="75">
        <v>464000000</v>
      </c>
      <c r="B28" s="75">
        <v>914000000</v>
      </c>
      <c r="C28" s="75">
        <v>1719999994</v>
      </c>
      <c r="D28" s="75">
        <v>899999996</v>
      </c>
      <c r="E28" s="75">
        <v>1036000000</v>
      </c>
      <c r="F28" s="75">
        <v>843000000</v>
      </c>
      <c r="G28" s="75">
        <v>655000000</v>
      </c>
      <c r="H28" s="75">
        <v>830000000</v>
      </c>
      <c r="I28" s="75">
        <v>1012000000</v>
      </c>
      <c r="J28" s="75">
        <v>608000000</v>
      </c>
      <c r="K28" s="75">
        <v>1148000000</v>
      </c>
      <c r="L28" s="75">
        <v>542000000</v>
      </c>
      <c r="M28" s="75">
        <v>1282000000</v>
      </c>
      <c r="N28" s="75">
        <v>549000000</v>
      </c>
      <c r="O28" s="75">
        <v>958000000</v>
      </c>
      <c r="P28" s="75">
        <v>295000000</v>
      </c>
      <c r="Q28" s="75"/>
    </row>
    <row r="29" spans="1:17" x14ac:dyDescent="0.25">
      <c r="A29" s="75">
        <v>470000000</v>
      </c>
      <c r="B29" s="75">
        <v>877000000</v>
      </c>
      <c r="C29" s="75">
        <v>1767999994</v>
      </c>
      <c r="D29" s="75">
        <v>901333332</v>
      </c>
      <c r="E29" s="75">
        <v>1025000000</v>
      </c>
      <c r="F29" s="75">
        <v>814000000</v>
      </c>
      <c r="G29" s="75">
        <v>697000000</v>
      </c>
      <c r="H29" s="75">
        <v>789000000</v>
      </c>
      <c r="I29" s="75">
        <v>1046000000</v>
      </c>
      <c r="J29" s="75">
        <v>570000000</v>
      </c>
      <c r="K29" s="75">
        <v>1198000000</v>
      </c>
      <c r="L29" s="75">
        <v>502000000</v>
      </c>
      <c r="M29" s="75">
        <v>1321000000</v>
      </c>
      <c r="N29" s="75">
        <v>520000000</v>
      </c>
      <c r="O29" s="75">
        <v>1008000000</v>
      </c>
      <c r="P29" s="75">
        <v>246000000</v>
      </c>
      <c r="Q29" s="75"/>
    </row>
    <row r="30" spans="1:17" x14ac:dyDescent="0.25">
      <c r="A30" s="75">
        <v>486000000</v>
      </c>
      <c r="B30" s="75">
        <v>842000000</v>
      </c>
      <c r="C30" s="75">
        <v>1756888896</v>
      </c>
      <c r="D30" s="75">
        <v>841777780</v>
      </c>
      <c r="E30" s="75">
        <v>1018000000</v>
      </c>
      <c r="F30" s="75">
        <v>771000000</v>
      </c>
      <c r="G30" s="75">
        <v>685000000</v>
      </c>
      <c r="H30" s="75">
        <v>754000000</v>
      </c>
      <c r="I30" s="75">
        <v>1029000000</v>
      </c>
      <c r="J30" s="75">
        <v>541000000</v>
      </c>
      <c r="K30" s="75">
        <v>1188000000</v>
      </c>
      <c r="L30" s="75">
        <v>465000000</v>
      </c>
      <c r="M30" s="75">
        <v>1318000000</v>
      </c>
      <c r="N30" s="75">
        <v>476000000</v>
      </c>
      <c r="O30" s="75">
        <v>981000000</v>
      </c>
      <c r="P30" s="75">
        <v>206000000</v>
      </c>
      <c r="Q30" s="75"/>
    </row>
    <row r="31" spans="1:17" x14ac:dyDescent="0.25">
      <c r="A31" s="75">
        <v>473000000</v>
      </c>
      <c r="B31" s="75">
        <v>869000000</v>
      </c>
      <c r="C31" s="75">
        <v>1733000000</v>
      </c>
      <c r="D31" s="75">
        <v>892000000</v>
      </c>
      <c r="E31" s="75">
        <v>1032000000</v>
      </c>
      <c r="F31" s="75">
        <v>805000000</v>
      </c>
      <c r="G31" s="75">
        <v>673000000</v>
      </c>
      <c r="H31" s="75">
        <v>787000000</v>
      </c>
      <c r="I31" s="75">
        <v>1025000000</v>
      </c>
      <c r="J31" s="75">
        <v>577000000</v>
      </c>
      <c r="K31" s="75">
        <v>1179000000</v>
      </c>
      <c r="L31" s="75">
        <v>510000000</v>
      </c>
      <c r="M31" s="75">
        <v>1297000000</v>
      </c>
      <c r="N31" s="75">
        <v>522000000</v>
      </c>
      <c r="O31" s="75">
        <v>974000000</v>
      </c>
      <c r="P31" s="75">
        <v>249000000</v>
      </c>
      <c r="Q31" s="75"/>
    </row>
    <row r="32" spans="1:17" x14ac:dyDescent="0.25">
      <c r="A32" s="75">
        <v>489000000</v>
      </c>
      <c r="B32" s="75">
        <v>860000000</v>
      </c>
      <c r="C32" s="75">
        <v>1793000000</v>
      </c>
      <c r="D32" s="75">
        <v>882000000</v>
      </c>
      <c r="E32" s="75">
        <v>1044000000</v>
      </c>
      <c r="F32" s="75">
        <v>805000000</v>
      </c>
      <c r="G32" s="75">
        <v>713000000</v>
      </c>
      <c r="H32" s="75">
        <v>776000000</v>
      </c>
      <c r="I32" s="75">
        <v>1060000000</v>
      </c>
      <c r="J32" s="75">
        <v>576000000</v>
      </c>
      <c r="K32" s="75">
        <v>1215000000</v>
      </c>
      <c r="L32" s="75">
        <v>504000000</v>
      </c>
      <c r="M32" s="75">
        <v>1350000000</v>
      </c>
      <c r="N32" s="75">
        <v>514000000</v>
      </c>
      <c r="O32" s="75">
        <v>1019000000</v>
      </c>
      <c r="P32" s="75">
        <v>237000000</v>
      </c>
      <c r="Q32" s="75"/>
    </row>
    <row r="33" spans="1:17" x14ac:dyDescent="0.25">
      <c r="A33" s="75"/>
      <c r="B33" s="75"/>
      <c r="C33" s="75"/>
      <c r="D33" s="75"/>
      <c r="E33" s="75"/>
      <c r="F33" s="75"/>
      <c r="G33" s="75"/>
      <c r="H33" s="75"/>
      <c r="I33" s="75"/>
      <c r="J33" s="75"/>
      <c r="K33" s="75"/>
      <c r="L33" s="75"/>
      <c r="M33" s="75"/>
      <c r="N33" s="75"/>
      <c r="O33" s="75"/>
      <c r="P33" s="75"/>
      <c r="Q33" s="75"/>
    </row>
    <row r="34" spans="1:17" x14ac:dyDescent="0.25">
      <c r="A34" s="75"/>
      <c r="B34" s="75"/>
      <c r="C34" s="75"/>
      <c r="D34" s="75"/>
      <c r="E34" s="75"/>
      <c r="F34" s="75"/>
      <c r="G34" s="75"/>
      <c r="H34" s="75"/>
      <c r="I34" s="75"/>
      <c r="J34" s="75"/>
      <c r="K34" s="75"/>
      <c r="L34" s="75"/>
      <c r="M34" s="75"/>
      <c r="N34" s="75"/>
      <c r="O34" s="75"/>
      <c r="P34" s="75"/>
      <c r="Q34" s="75"/>
    </row>
    <row r="35" spans="1:17" x14ac:dyDescent="0.25">
      <c r="A35" s="75"/>
      <c r="B35" s="75"/>
      <c r="C35" s="75"/>
      <c r="D35" s="75"/>
      <c r="E35" s="75"/>
      <c r="F35" s="75"/>
      <c r="G35" s="75"/>
      <c r="H35" s="75"/>
      <c r="I35" s="75"/>
      <c r="J35" s="75"/>
      <c r="K35" s="75"/>
      <c r="L35" s="75"/>
      <c r="M35" s="75"/>
      <c r="N35" s="75"/>
      <c r="O35" s="75"/>
      <c r="P35" s="75"/>
      <c r="Q35" s="75"/>
    </row>
    <row r="36" spans="1:17" x14ac:dyDescent="0.25">
      <c r="A36" s="75"/>
      <c r="B36" s="75"/>
      <c r="C36" s="75"/>
      <c r="D36" s="75"/>
      <c r="E36" s="75"/>
      <c r="F36" s="75"/>
      <c r="G36" s="75"/>
      <c r="H36" s="75"/>
      <c r="I36" s="75"/>
      <c r="J36" s="75"/>
      <c r="K36" s="75"/>
      <c r="L36" s="75"/>
      <c r="M36" s="75"/>
      <c r="N36" s="75"/>
      <c r="O36" s="75"/>
      <c r="P36" s="75"/>
      <c r="Q36" s="75"/>
    </row>
    <row r="37" spans="1:17" x14ac:dyDescent="0.25">
      <c r="A37" s="75"/>
      <c r="B37" s="75"/>
      <c r="C37" s="75"/>
      <c r="D37" s="75"/>
      <c r="E37" s="75"/>
      <c r="F37" s="75"/>
      <c r="G37" s="75"/>
      <c r="H37" s="75"/>
      <c r="I37" s="75"/>
      <c r="J37" s="75"/>
      <c r="K37" s="75"/>
      <c r="L37" s="75"/>
      <c r="M37" s="75"/>
      <c r="N37" s="75"/>
      <c r="O37" s="75"/>
      <c r="P37" s="75"/>
      <c r="Q37" s="75"/>
    </row>
    <row r="38" spans="1:17" x14ac:dyDescent="0.25">
      <c r="A38" s="75"/>
      <c r="B38" s="75"/>
      <c r="C38" s="75"/>
      <c r="D38" s="75"/>
      <c r="E38" s="75"/>
      <c r="F38" s="75"/>
      <c r="G38" s="75"/>
      <c r="H38" s="75"/>
      <c r="I38" s="75"/>
      <c r="J38" s="75"/>
      <c r="K38" s="75"/>
      <c r="L38" s="75"/>
      <c r="M38" s="75"/>
      <c r="N38" s="75"/>
      <c r="O38" s="75"/>
      <c r="P38" s="75"/>
      <c r="Q38" s="75"/>
    </row>
    <row r="39" spans="1:17" x14ac:dyDescent="0.25">
      <c r="A39" s="75"/>
      <c r="B39" s="75"/>
      <c r="C39" s="75"/>
      <c r="D39" s="75"/>
      <c r="E39" s="75"/>
      <c r="F39" s="75"/>
      <c r="G39" s="75"/>
      <c r="H39" s="75"/>
      <c r="I39" s="75"/>
      <c r="J39" s="75"/>
      <c r="K39" s="75"/>
      <c r="L39" s="75"/>
      <c r="M39" s="75"/>
      <c r="N39" s="75"/>
      <c r="O39" s="75"/>
      <c r="P39" s="75"/>
      <c r="Q39" s="75"/>
    </row>
    <row r="40" spans="1:17" x14ac:dyDescent="0.25">
      <c r="A40" s="75"/>
      <c r="B40" s="75"/>
      <c r="C40" s="75"/>
      <c r="D40" s="75"/>
      <c r="E40" s="75"/>
      <c r="F40" s="75"/>
      <c r="G40" s="75"/>
      <c r="H40" s="75"/>
      <c r="I40" s="75"/>
      <c r="J40" s="75"/>
      <c r="K40" s="75"/>
      <c r="L40" s="75"/>
      <c r="M40" s="75"/>
      <c r="N40" s="75"/>
      <c r="O40" s="75"/>
      <c r="P40" s="75"/>
      <c r="Q40" s="75"/>
    </row>
    <row r="41" spans="1:17" x14ac:dyDescent="0.25">
      <c r="A41" s="75"/>
      <c r="B41" s="75"/>
      <c r="C41" s="75"/>
      <c r="D41" s="75"/>
      <c r="E41" s="75"/>
      <c r="F41" s="75"/>
      <c r="G41" s="75"/>
      <c r="H41" s="75"/>
      <c r="I41" s="75"/>
      <c r="J41" s="75"/>
      <c r="K41" s="75"/>
      <c r="L41" s="75"/>
      <c r="M41" s="75"/>
      <c r="N41" s="75"/>
      <c r="O41" s="75"/>
      <c r="P41" s="75"/>
      <c r="Q41" s="75"/>
    </row>
    <row r="42" spans="1:17" x14ac:dyDescent="0.25">
      <c r="A42" s="75"/>
      <c r="B42" s="75"/>
      <c r="C42" s="75"/>
      <c r="D42" s="75"/>
      <c r="E42" s="75"/>
      <c r="F42" s="75"/>
      <c r="G42" s="75"/>
      <c r="H42" s="75"/>
      <c r="I42" s="75"/>
      <c r="J42" s="75"/>
      <c r="K42" s="75"/>
      <c r="L42" s="75"/>
      <c r="M42" s="75"/>
      <c r="N42" s="75"/>
      <c r="O42" s="75"/>
      <c r="P42" s="75"/>
      <c r="Q42" s="75"/>
    </row>
    <row r="43" spans="1:17" x14ac:dyDescent="0.25">
      <c r="A43" s="75"/>
      <c r="B43" s="75"/>
      <c r="C43" s="75"/>
      <c r="D43" s="75"/>
      <c r="E43" s="75"/>
      <c r="F43" s="75"/>
      <c r="G43" s="75"/>
      <c r="H43" s="75"/>
      <c r="I43" s="75"/>
      <c r="J43" s="75"/>
      <c r="K43" s="75"/>
      <c r="L43" s="75"/>
      <c r="M43" s="75"/>
      <c r="N43" s="75"/>
      <c r="O43" s="75"/>
      <c r="P43" s="75"/>
      <c r="Q43" s="75"/>
    </row>
    <row r="44" spans="1:17" x14ac:dyDescent="0.25">
      <c r="A44" s="75"/>
      <c r="B44" s="75"/>
      <c r="C44" s="75"/>
      <c r="D44" s="75"/>
      <c r="E44" s="75"/>
      <c r="F44" s="75"/>
      <c r="G44" s="75"/>
      <c r="H44" s="75"/>
      <c r="I44" s="75"/>
      <c r="J44" s="75"/>
      <c r="K44" s="75"/>
      <c r="L44" s="75"/>
      <c r="M44" s="75"/>
      <c r="N44" s="75"/>
      <c r="O44" s="75"/>
      <c r="P44" s="75"/>
      <c r="Q44" s="75"/>
    </row>
    <row r="45" spans="1:17" x14ac:dyDescent="0.25">
      <c r="A45" s="75"/>
      <c r="B45" s="75"/>
      <c r="C45" s="75"/>
      <c r="D45" s="75"/>
      <c r="E45" s="75"/>
      <c r="F45" s="75"/>
      <c r="G45" s="75"/>
      <c r="H45" s="75"/>
      <c r="I45" s="75"/>
      <c r="J45" s="75"/>
      <c r="K45" s="75"/>
      <c r="L45" s="75"/>
      <c r="M45" s="75"/>
      <c r="N45" s="75"/>
      <c r="O45" s="75"/>
      <c r="P45" s="75"/>
      <c r="Q45" s="75"/>
    </row>
    <row r="46" spans="1:17" x14ac:dyDescent="0.25">
      <c r="A46" s="75"/>
      <c r="B46" s="75"/>
      <c r="C46" s="75"/>
      <c r="D46" s="75"/>
      <c r="E46" s="75"/>
      <c r="F46" s="75"/>
      <c r="G46" s="75"/>
      <c r="H46" s="75"/>
      <c r="I46" s="75"/>
      <c r="J46" s="75"/>
      <c r="K46" s="75"/>
      <c r="L46" s="75"/>
      <c r="M46" s="75"/>
      <c r="N46" s="75"/>
      <c r="O46" s="75"/>
      <c r="P46" s="75"/>
      <c r="Q46" s="75"/>
    </row>
    <row r="47" spans="1:17" x14ac:dyDescent="0.25">
      <c r="A47" s="75"/>
      <c r="B47" s="75"/>
      <c r="C47" s="75"/>
      <c r="D47" s="75"/>
      <c r="E47" s="75"/>
      <c r="F47" s="75"/>
      <c r="G47" s="75"/>
      <c r="H47" s="75"/>
      <c r="I47" s="75"/>
      <c r="J47" s="75"/>
      <c r="K47" s="75"/>
      <c r="L47" s="75"/>
      <c r="M47" s="75"/>
      <c r="N47" s="75"/>
      <c r="O47" s="75"/>
      <c r="P47" s="75"/>
      <c r="Q47" s="75"/>
    </row>
    <row r="48" spans="1:17" x14ac:dyDescent="0.25">
      <c r="A48" s="75"/>
      <c r="B48" s="75"/>
      <c r="C48" s="75"/>
      <c r="D48" s="75"/>
      <c r="E48" s="75"/>
      <c r="F48" s="75"/>
      <c r="G48" s="75"/>
      <c r="H48" s="75"/>
      <c r="I48" s="75"/>
      <c r="J48" s="75"/>
      <c r="K48" s="75"/>
      <c r="L48" s="75"/>
      <c r="M48" s="75"/>
      <c r="N48" s="75"/>
      <c r="O48" s="75"/>
      <c r="P48" s="75"/>
      <c r="Q48" s="75"/>
    </row>
    <row r="49" spans="1:17" x14ac:dyDescent="0.25">
      <c r="A49" s="75"/>
      <c r="B49" s="75"/>
      <c r="C49" s="75"/>
      <c r="D49" s="75"/>
      <c r="E49" s="75"/>
      <c r="F49" s="75"/>
      <c r="G49" s="75"/>
      <c r="H49" s="75"/>
      <c r="I49" s="75"/>
      <c r="J49" s="75"/>
      <c r="K49" s="75"/>
      <c r="L49" s="75"/>
      <c r="M49" s="75"/>
      <c r="N49" s="75"/>
      <c r="O49" s="75"/>
      <c r="P49" s="75"/>
      <c r="Q49" s="75"/>
    </row>
    <row r="50" spans="1:17" x14ac:dyDescent="0.25">
      <c r="A50" s="75"/>
      <c r="B50" s="75"/>
      <c r="C50" s="75"/>
      <c r="D50" s="75"/>
      <c r="E50" s="75"/>
      <c r="F50" s="75"/>
      <c r="G50" s="75"/>
      <c r="H50" s="75"/>
      <c r="I50" s="75"/>
      <c r="J50" s="75"/>
      <c r="K50" s="75"/>
      <c r="L50" s="75"/>
      <c r="M50" s="75"/>
      <c r="N50" s="75"/>
      <c r="O50" s="75"/>
      <c r="P50" s="75"/>
      <c r="Q50" s="75"/>
    </row>
    <row r="51" spans="1:17" x14ac:dyDescent="0.25">
      <c r="A51" s="75"/>
      <c r="B51" s="75"/>
      <c r="C51" s="75"/>
      <c r="D51" s="75"/>
      <c r="E51" s="75"/>
      <c r="F51" s="75"/>
      <c r="G51" s="75"/>
      <c r="H51" s="75"/>
      <c r="I51" s="75"/>
      <c r="J51" s="75"/>
      <c r="K51" s="75"/>
      <c r="L51" s="75"/>
      <c r="M51" s="75"/>
      <c r="N51" s="75"/>
      <c r="O51" s="75"/>
      <c r="P51" s="75"/>
      <c r="Q51" s="75"/>
    </row>
    <row r="52" spans="1:17" x14ac:dyDescent="0.25">
      <c r="A52" s="75"/>
      <c r="B52" s="75"/>
      <c r="C52" s="75"/>
      <c r="D52" s="75"/>
      <c r="E52" s="75"/>
      <c r="F52" s="75"/>
      <c r="G52" s="75"/>
      <c r="H52" s="75"/>
      <c r="I52" s="75"/>
      <c r="J52" s="75"/>
      <c r="K52" s="75"/>
      <c r="L52" s="75"/>
      <c r="M52" s="75"/>
      <c r="N52" s="75"/>
      <c r="O52" s="75"/>
      <c r="P52" s="75"/>
      <c r="Q52" s="75"/>
    </row>
    <row r="53" spans="1:17" x14ac:dyDescent="0.25">
      <c r="A53" s="75"/>
      <c r="B53" s="75"/>
      <c r="C53" s="75"/>
      <c r="D53" s="75"/>
      <c r="E53" s="75"/>
      <c r="F53" s="75"/>
      <c r="G53" s="75"/>
      <c r="H53" s="75"/>
      <c r="I53" s="75"/>
      <c r="J53" s="75"/>
      <c r="K53" s="75"/>
      <c r="L53" s="75"/>
      <c r="M53" s="75"/>
      <c r="N53" s="75"/>
      <c r="O53" s="75"/>
      <c r="P53" s="75"/>
      <c r="Q53" s="75"/>
    </row>
    <row r="54" spans="1:17" x14ac:dyDescent="0.25">
      <c r="A54" s="75"/>
      <c r="B54" s="75"/>
      <c r="C54" s="75"/>
      <c r="D54" s="75"/>
      <c r="E54" s="75"/>
      <c r="F54" s="75"/>
      <c r="G54" s="75"/>
      <c r="H54" s="75"/>
      <c r="I54" s="75"/>
      <c r="J54" s="75"/>
      <c r="K54" s="75"/>
      <c r="L54" s="75"/>
      <c r="M54" s="75"/>
      <c r="N54" s="75"/>
      <c r="O54" s="75"/>
      <c r="P54" s="75"/>
      <c r="Q54" s="75"/>
    </row>
    <row r="55" spans="1:17" x14ac:dyDescent="0.25">
      <c r="A55" s="75"/>
      <c r="B55" s="75"/>
      <c r="C55" s="75"/>
      <c r="D55" s="75"/>
      <c r="E55" s="75"/>
      <c r="F55" s="75"/>
      <c r="G55" s="75"/>
      <c r="H55" s="75"/>
      <c r="I55" s="75"/>
      <c r="J55" s="75"/>
      <c r="K55" s="75"/>
      <c r="L55" s="75"/>
      <c r="M55" s="75"/>
      <c r="N55" s="75"/>
      <c r="O55" s="75"/>
      <c r="P55" s="75"/>
      <c r="Q55" s="75"/>
    </row>
    <row r="56" spans="1:17" x14ac:dyDescent="0.25">
      <c r="A56" s="75"/>
      <c r="B56" s="75"/>
      <c r="C56" s="75"/>
      <c r="D56" s="75"/>
      <c r="E56" s="75"/>
      <c r="F56" s="75"/>
      <c r="G56" s="75"/>
      <c r="H56" s="75"/>
      <c r="I56" s="75"/>
      <c r="J56" s="75"/>
      <c r="K56" s="75"/>
      <c r="L56" s="75"/>
      <c r="M56" s="75"/>
      <c r="N56" s="75"/>
      <c r="O56" s="75"/>
      <c r="P56" s="75"/>
      <c r="Q56" s="75"/>
    </row>
    <row r="57" spans="1:17" x14ac:dyDescent="0.25">
      <c r="A57" s="75"/>
      <c r="B57" s="75"/>
      <c r="C57" s="75"/>
      <c r="D57" s="75"/>
      <c r="E57" s="75"/>
      <c r="F57" s="75"/>
      <c r="G57" s="75"/>
      <c r="H57" s="75"/>
      <c r="I57" s="75"/>
      <c r="J57" s="75"/>
      <c r="K57" s="75"/>
      <c r="L57" s="75"/>
      <c r="M57" s="75"/>
      <c r="N57" s="75"/>
      <c r="O57" s="75"/>
      <c r="P57" s="75"/>
      <c r="Q57" s="75"/>
    </row>
    <row r="58" spans="1:17" x14ac:dyDescent="0.25">
      <c r="A58" s="75"/>
      <c r="B58" s="75"/>
      <c r="C58" s="75"/>
      <c r="D58" s="75"/>
      <c r="E58" s="75"/>
      <c r="F58" s="75"/>
      <c r="G58" s="75"/>
      <c r="H58" s="75"/>
      <c r="I58" s="75"/>
      <c r="J58" s="75"/>
      <c r="K58" s="75"/>
      <c r="L58" s="75"/>
      <c r="M58" s="75"/>
      <c r="N58" s="75"/>
      <c r="O58" s="75"/>
      <c r="P58" s="75"/>
      <c r="Q58" s="75"/>
    </row>
    <row r="59" spans="1:17" x14ac:dyDescent="0.25">
      <c r="A59" s="75"/>
      <c r="B59" s="75"/>
      <c r="C59" s="75"/>
      <c r="D59" s="75"/>
      <c r="E59" s="75"/>
      <c r="F59" s="75"/>
      <c r="G59" s="75"/>
      <c r="H59" s="75"/>
      <c r="I59" s="75"/>
      <c r="J59" s="75"/>
      <c r="K59" s="75"/>
      <c r="L59" s="75"/>
      <c r="M59" s="75"/>
      <c r="N59" s="75"/>
      <c r="O59" s="75"/>
      <c r="P59" s="75"/>
      <c r="Q59" s="75"/>
    </row>
    <row r="60" spans="1:17" x14ac:dyDescent="0.25">
      <c r="A60" s="75"/>
      <c r="B60" s="75"/>
      <c r="C60" s="75"/>
      <c r="D60" s="75"/>
      <c r="E60" s="75"/>
      <c r="F60" s="75"/>
      <c r="G60" s="75"/>
      <c r="H60" s="75"/>
      <c r="I60" s="75"/>
      <c r="J60" s="75"/>
      <c r="K60" s="75"/>
      <c r="L60" s="75"/>
      <c r="M60" s="75"/>
      <c r="N60" s="75"/>
      <c r="O60" s="75"/>
      <c r="P60" s="75"/>
      <c r="Q60" s="75"/>
    </row>
    <row r="61" spans="1:17" x14ac:dyDescent="0.25">
      <c r="A61" s="75"/>
      <c r="B61" s="75"/>
      <c r="C61" s="75"/>
      <c r="D61" s="75"/>
      <c r="E61" s="75"/>
      <c r="F61" s="75"/>
      <c r="G61" s="75"/>
      <c r="H61" s="75"/>
      <c r="I61" s="75"/>
      <c r="J61" s="75"/>
      <c r="K61" s="75"/>
      <c r="L61" s="75"/>
      <c r="M61" s="75"/>
      <c r="N61" s="75"/>
      <c r="O61" s="75"/>
      <c r="P61" s="75"/>
      <c r="Q61" s="75"/>
    </row>
    <row r="62" spans="1:17" x14ac:dyDescent="0.25">
      <c r="A62" s="75"/>
      <c r="B62" s="75"/>
      <c r="C62" s="75"/>
      <c r="D62" s="75"/>
      <c r="E62" s="75"/>
      <c r="F62" s="75"/>
      <c r="G62" s="75"/>
      <c r="H62" s="75"/>
      <c r="I62" s="75"/>
      <c r="J62" s="75"/>
      <c r="K62" s="75"/>
      <c r="L62" s="75"/>
      <c r="M62" s="75"/>
      <c r="N62" s="75"/>
      <c r="O62" s="75"/>
      <c r="P62" s="75"/>
      <c r="Q62" s="75"/>
    </row>
    <row r="63" spans="1:17" x14ac:dyDescent="0.25">
      <c r="A63" s="75"/>
      <c r="B63" s="75"/>
      <c r="C63" s="75"/>
      <c r="D63" s="75"/>
      <c r="E63" s="75"/>
      <c r="F63" s="75"/>
      <c r="G63" s="75"/>
      <c r="H63" s="75"/>
      <c r="I63" s="75"/>
      <c r="J63" s="75"/>
      <c r="K63" s="75"/>
      <c r="L63" s="75"/>
      <c r="M63" s="75"/>
      <c r="N63" s="75"/>
      <c r="O63" s="75"/>
      <c r="P63" s="75"/>
      <c r="Q63" s="75"/>
    </row>
    <row r="64" spans="1:17" x14ac:dyDescent="0.25">
      <c r="A64" s="75"/>
      <c r="B64" s="75"/>
      <c r="C64" s="75"/>
      <c r="D64" s="75"/>
      <c r="E64" s="75"/>
      <c r="F64" s="75"/>
      <c r="G64" s="75"/>
      <c r="H64" s="75"/>
      <c r="I64" s="75"/>
      <c r="J64" s="75"/>
      <c r="K64" s="75"/>
      <c r="L64" s="75"/>
      <c r="M64" s="75"/>
      <c r="N64" s="75"/>
      <c r="O64" s="75"/>
      <c r="P64" s="75"/>
      <c r="Q64" s="75"/>
    </row>
    <row r="65" spans="1:17" x14ac:dyDescent="0.25">
      <c r="A65" s="75"/>
      <c r="B65" s="75"/>
      <c r="C65" s="75"/>
      <c r="D65" s="75"/>
      <c r="E65" s="75"/>
      <c r="F65" s="75"/>
      <c r="G65" s="75"/>
      <c r="H65" s="75"/>
      <c r="I65" s="75"/>
      <c r="J65" s="75"/>
      <c r="K65" s="75"/>
      <c r="L65" s="75"/>
      <c r="M65" s="75"/>
      <c r="N65" s="75"/>
      <c r="O65" s="75"/>
      <c r="P65" s="75"/>
      <c r="Q65" s="75"/>
    </row>
    <row r="66" spans="1:17" x14ac:dyDescent="0.25">
      <c r="A66" s="75"/>
      <c r="B66" s="75"/>
      <c r="C66" s="75"/>
      <c r="D66" s="75"/>
      <c r="E66" s="75"/>
      <c r="F66" s="75"/>
      <c r="G66" s="75"/>
      <c r="H66" s="75"/>
      <c r="I66" s="75"/>
      <c r="J66" s="75"/>
      <c r="K66" s="75"/>
      <c r="L66" s="75"/>
      <c r="M66" s="75"/>
      <c r="N66" s="75"/>
      <c r="O66" s="75"/>
      <c r="P66" s="75"/>
      <c r="Q66" s="75"/>
    </row>
    <row r="67" spans="1:17" x14ac:dyDescent="0.25">
      <c r="A67" s="75"/>
      <c r="B67" s="75"/>
      <c r="C67" s="75"/>
      <c r="D67" s="75"/>
      <c r="E67" s="75"/>
      <c r="F67" s="75"/>
      <c r="G67" s="75"/>
      <c r="H67" s="75"/>
      <c r="I67" s="75"/>
      <c r="J67" s="75"/>
      <c r="K67" s="75"/>
      <c r="L67" s="75"/>
      <c r="M67" s="75"/>
      <c r="N67" s="75"/>
      <c r="O67" s="75"/>
      <c r="P67" s="75"/>
      <c r="Q67" s="75"/>
    </row>
    <row r="68" spans="1:17" x14ac:dyDescent="0.25">
      <c r="A68" s="75"/>
      <c r="B68" s="75"/>
      <c r="C68" s="75"/>
      <c r="D68" s="75"/>
      <c r="E68" s="75"/>
      <c r="F68" s="75"/>
      <c r="G68" s="75"/>
      <c r="H68" s="75"/>
      <c r="I68" s="75"/>
      <c r="J68" s="75"/>
      <c r="K68" s="75"/>
      <c r="L68" s="75"/>
      <c r="M68" s="75"/>
      <c r="N68" s="75"/>
      <c r="O68" s="75"/>
      <c r="P68" s="75"/>
      <c r="Q68" s="75"/>
    </row>
    <row r="69" spans="1:17" x14ac:dyDescent="0.25">
      <c r="A69" s="75"/>
      <c r="B69" s="75"/>
      <c r="C69" s="75"/>
      <c r="D69" s="75"/>
      <c r="E69" s="75"/>
      <c r="F69" s="75"/>
      <c r="G69" s="75"/>
      <c r="H69" s="75"/>
      <c r="I69" s="75"/>
      <c r="J69" s="75"/>
      <c r="K69" s="75"/>
      <c r="L69" s="75"/>
      <c r="M69" s="75"/>
      <c r="N69" s="75"/>
      <c r="O69" s="75"/>
      <c r="P69" s="75"/>
      <c r="Q69" s="75"/>
    </row>
    <row r="70" spans="1:17" x14ac:dyDescent="0.25">
      <c r="A70" s="75"/>
      <c r="B70" s="75"/>
      <c r="C70" s="75"/>
      <c r="D70" s="75"/>
      <c r="E70" s="75"/>
      <c r="F70" s="75"/>
      <c r="G70" s="75"/>
      <c r="H70" s="75"/>
      <c r="I70" s="75"/>
      <c r="J70" s="75"/>
      <c r="K70" s="75"/>
      <c r="L70" s="75"/>
      <c r="M70" s="75"/>
      <c r="N70" s="75"/>
      <c r="O70" s="75"/>
      <c r="P70" s="75"/>
      <c r="Q70" s="75"/>
    </row>
    <row r="71" spans="1:17" x14ac:dyDescent="0.25">
      <c r="A71" s="75"/>
      <c r="B71" s="75"/>
      <c r="C71" s="75"/>
      <c r="D71" s="75"/>
      <c r="E71" s="75"/>
      <c r="F71" s="75"/>
      <c r="G71" s="75"/>
      <c r="H71" s="75"/>
      <c r="I71" s="75"/>
      <c r="J71" s="75"/>
      <c r="K71" s="75"/>
      <c r="L71" s="75"/>
      <c r="M71" s="75"/>
      <c r="N71" s="75"/>
      <c r="O71" s="75"/>
      <c r="P71" s="75"/>
      <c r="Q71" s="75"/>
    </row>
    <row r="72" spans="1:17" x14ac:dyDescent="0.25">
      <c r="A72" s="75"/>
      <c r="B72" s="75"/>
      <c r="C72" s="75"/>
      <c r="D72" s="75"/>
      <c r="E72" s="75"/>
      <c r="F72" s="75"/>
      <c r="G72" s="75"/>
      <c r="H72" s="75"/>
      <c r="I72" s="75"/>
      <c r="J72" s="75"/>
      <c r="K72" s="75"/>
      <c r="L72" s="75"/>
      <c r="M72" s="75"/>
      <c r="N72" s="75"/>
      <c r="O72" s="75"/>
      <c r="P72" s="75"/>
      <c r="Q72" s="75"/>
    </row>
    <row r="73" spans="1:17" x14ac:dyDescent="0.25">
      <c r="A73" s="75"/>
      <c r="B73" s="75"/>
      <c r="C73" s="75"/>
      <c r="D73" s="75"/>
      <c r="E73" s="75"/>
      <c r="F73" s="75"/>
      <c r="G73" s="75"/>
      <c r="H73" s="75"/>
      <c r="I73" s="75"/>
      <c r="J73" s="75"/>
      <c r="K73" s="75"/>
      <c r="L73" s="75"/>
      <c r="M73" s="75"/>
      <c r="N73" s="75"/>
      <c r="O73" s="75"/>
      <c r="P73" s="75"/>
      <c r="Q73" s="75"/>
    </row>
    <row r="74" spans="1:17" x14ac:dyDescent="0.25">
      <c r="A74" s="75"/>
      <c r="B74" s="75"/>
      <c r="C74" s="75"/>
      <c r="D74" s="75"/>
      <c r="E74" s="75"/>
      <c r="F74" s="75"/>
      <c r="G74" s="75"/>
      <c r="H74" s="75"/>
      <c r="I74" s="75"/>
      <c r="J74" s="75"/>
      <c r="K74" s="75"/>
      <c r="L74" s="75"/>
      <c r="M74" s="75"/>
      <c r="N74" s="75"/>
      <c r="O74" s="75"/>
      <c r="P74" s="75"/>
      <c r="Q74" s="75"/>
    </row>
    <row r="75" spans="1:17" x14ac:dyDescent="0.25">
      <c r="A75" s="75"/>
      <c r="B75" s="75"/>
      <c r="C75" s="75"/>
      <c r="D75" s="75"/>
      <c r="E75" s="75"/>
      <c r="F75" s="75"/>
      <c r="G75" s="75"/>
      <c r="H75" s="75"/>
      <c r="I75" s="75"/>
      <c r="J75" s="75"/>
      <c r="K75" s="75"/>
      <c r="L75" s="75"/>
      <c r="M75" s="75"/>
      <c r="N75" s="75"/>
      <c r="O75" s="75"/>
      <c r="P75" s="75"/>
      <c r="Q75" s="75"/>
    </row>
    <row r="76" spans="1:17" x14ac:dyDescent="0.25">
      <c r="A76" s="75"/>
      <c r="B76" s="75"/>
      <c r="C76" s="75"/>
      <c r="D76" s="75"/>
      <c r="E76" s="75"/>
      <c r="F76" s="75"/>
      <c r="G76" s="75"/>
      <c r="H76" s="75"/>
      <c r="I76" s="75"/>
      <c r="J76" s="75"/>
      <c r="K76" s="75"/>
      <c r="L76" s="75"/>
      <c r="M76" s="75"/>
      <c r="N76" s="75"/>
      <c r="O76" s="75"/>
      <c r="P76" s="75"/>
      <c r="Q76" s="75"/>
    </row>
    <row r="77" spans="1:17" x14ac:dyDescent="0.25">
      <c r="A77" s="75"/>
      <c r="B77" s="75"/>
      <c r="C77" s="75"/>
      <c r="D77" s="75"/>
      <c r="E77" s="75"/>
      <c r="F77" s="75"/>
      <c r="G77" s="75"/>
      <c r="H77" s="75"/>
      <c r="I77" s="75"/>
      <c r="J77" s="75"/>
      <c r="K77" s="75"/>
      <c r="L77" s="75"/>
      <c r="M77" s="75"/>
      <c r="N77" s="75"/>
      <c r="O77" s="75"/>
      <c r="P77" s="75"/>
      <c r="Q77" s="75"/>
    </row>
    <row r="78" spans="1:17" x14ac:dyDescent="0.25">
      <c r="A78" s="75"/>
      <c r="B78" s="75"/>
      <c r="C78" s="75"/>
      <c r="D78" s="75"/>
      <c r="E78" s="75"/>
      <c r="F78" s="75"/>
      <c r="G78" s="75"/>
      <c r="H78" s="75"/>
      <c r="I78" s="75"/>
      <c r="J78" s="75"/>
      <c r="K78" s="75"/>
      <c r="L78" s="75"/>
      <c r="M78" s="75"/>
      <c r="N78" s="75"/>
      <c r="O78" s="75"/>
      <c r="P78" s="75"/>
      <c r="Q78" s="75"/>
    </row>
    <row r="79" spans="1:17" x14ac:dyDescent="0.25">
      <c r="A79" s="75"/>
      <c r="B79" s="75"/>
      <c r="C79" s="75"/>
      <c r="D79" s="75"/>
      <c r="E79" s="75"/>
      <c r="F79" s="75"/>
      <c r="G79" s="75"/>
      <c r="H79" s="75"/>
      <c r="I79" s="75"/>
      <c r="J79" s="75"/>
      <c r="K79" s="75"/>
      <c r="L79" s="75"/>
      <c r="M79" s="75"/>
      <c r="N79" s="75"/>
      <c r="O79" s="75"/>
      <c r="P79" s="75"/>
      <c r="Q79" s="75"/>
    </row>
    <row r="80" spans="1:17" x14ac:dyDescent="0.25">
      <c r="A80" s="75"/>
      <c r="B80" s="75"/>
      <c r="C80" s="75"/>
      <c r="D80" s="75"/>
      <c r="E80" s="75"/>
      <c r="F80" s="75"/>
      <c r="G80" s="75"/>
      <c r="H80" s="75"/>
      <c r="I80" s="75"/>
      <c r="J80" s="75"/>
      <c r="K80" s="75"/>
      <c r="L80" s="75"/>
      <c r="M80" s="75"/>
      <c r="N80" s="75"/>
      <c r="O80" s="75"/>
      <c r="P80" s="75"/>
      <c r="Q80" s="75"/>
    </row>
    <row r="81" spans="1:17" x14ac:dyDescent="0.25">
      <c r="A81" s="75"/>
      <c r="B81" s="75"/>
      <c r="C81" s="75"/>
      <c r="D81" s="75"/>
      <c r="E81" s="75"/>
      <c r="F81" s="75"/>
      <c r="G81" s="75"/>
      <c r="H81" s="75"/>
      <c r="I81" s="75"/>
      <c r="J81" s="75"/>
      <c r="K81" s="75"/>
      <c r="L81" s="75"/>
      <c r="M81" s="75"/>
      <c r="N81" s="75"/>
      <c r="O81" s="75"/>
      <c r="P81" s="75"/>
      <c r="Q81" s="75"/>
    </row>
    <row r="82" spans="1:17" x14ac:dyDescent="0.25">
      <c r="A82" s="75"/>
      <c r="B82" s="75"/>
      <c r="C82" s="75"/>
      <c r="D82" s="75"/>
      <c r="E82" s="75"/>
      <c r="F82" s="75"/>
      <c r="G82" s="75"/>
      <c r="H82" s="75"/>
      <c r="I82" s="75"/>
      <c r="J82" s="75"/>
      <c r="K82" s="75"/>
      <c r="L82" s="75"/>
      <c r="M82" s="75"/>
      <c r="N82" s="75"/>
      <c r="O82" s="75"/>
      <c r="P82" s="75"/>
      <c r="Q82" s="75"/>
    </row>
    <row r="83" spans="1:17" x14ac:dyDescent="0.25">
      <c r="A83" s="75"/>
      <c r="B83" s="75"/>
      <c r="C83" s="75"/>
      <c r="D83" s="75"/>
      <c r="E83" s="75"/>
      <c r="F83" s="75"/>
      <c r="G83" s="75"/>
      <c r="H83" s="75"/>
      <c r="I83" s="75"/>
      <c r="J83" s="75"/>
      <c r="K83" s="75"/>
      <c r="L83" s="75"/>
      <c r="M83" s="75"/>
      <c r="N83" s="75"/>
      <c r="O83" s="75"/>
      <c r="P83" s="75"/>
      <c r="Q83" s="75"/>
    </row>
    <row r="84" spans="1:17" x14ac:dyDescent="0.25">
      <c r="A84" s="75"/>
      <c r="B84" s="75"/>
      <c r="C84" s="75"/>
      <c r="D84" s="75"/>
      <c r="E84" s="75"/>
      <c r="F84" s="75"/>
      <c r="G84" s="75"/>
      <c r="H84" s="75"/>
      <c r="I84" s="75"/>
      <c r="J84" s="75"/>
      <c r="K84" s="75"/>
      <c r="L84" s="75"/>
      <c r="M84" s="75"/>
      <c r="N84" s="75"/>
      <c r="O84" s="75"/>
      <c r="P84" s="75"/>
      <c r="Q84" s="75"/>
    </row>
    <row r="85" spans="1:17" x14ac:dyDescent="0.25">
      <c r="A85" s="75"/>
      <c r="B85" s="75"/>
      <c r="C85" s="75"/>
      <c r="D85" s="75"/>
      <c r="E85" s="75"/>
      <c r="F85" s="75"/>
      <c r="G85" s="75"/>
      <c r="H85" s="75"/>
      <c r="I85" s="75"/>
      <c r="J85" s="75"/>
      <c r="K85" s="75"/>
      <c r="L85" s="75"/>
      <c r="M85" s="75"/>
      <c r="N85" s="75"/>
      <c r="O85" s="75"/>
      <c r="P85" s="75"/>
      <c r="Q85" s="75"/>
    </row>
    <row r="86" spans="1:17" x14ac:dyDescent="0.25">
      <c r="A86" s="75"/>
      <c r="B86" s="75"/>
      <c r="C86" s="75"/>
      <c r="D86" s="75"/>
      <c r="E86" s="75"/>
      <c r="F86" s="75"/>
      <c r="G86" s="75"/>
      <c r="H86" s="75"/>
      <c r="I86" s="75"/>
      <c r="J86" s="75"/>
      <c r="K86" s="75"/>
      <c r="L86" s="75"/>
      <c r="M86" s="75"/>
      <c r="N86" s="75"/>
      <c r="O86" s="75"/>
      <c r="P86" s="75"/>
      <c r="Q86" s="75"/>
    </row>
    <row r="87" spans="1:17" x14ac:dyDescent="0.25">
      <c r="A87" s="75"/>
      <c r="B87" s="75"/>
      <c r="C87" s="75"/>
      <c r="D87" s="75"/>
      <c r="E87" s="75"/>
      <c r="F87" s="75"/>
      <c r="G87" s="75"/>
      <c r="H87" s="75"/>
      <c r="I87" s="75"/>
      <c r="J87" s="75"/>
      <c r="K87" s="75"/>
      <c r="L87" s="75"/>
      <c r="M87" s="75"/>
      <c r="N87" s="75"/>
      <c r="O87" s="75"/>
      <c r="P87" s="75"/>
      <c r="Q87" s="75"/>
    </row>
    <row r="88" spans="1:17" x14ac:dyDescent="0.25">
      <c r="A88" s="75"/>
      <c r="B88" s="75"/>
      <c r="C88" s="75"/>
      <c r="D88" s="75"/>
      <c r="E88" s="75"/>
      <c r="F88" s="75"/>
      <c r="G88" s="75"/>
      <c r="H88" s="75"/>
      <c r="I88" s="75"/>
      <c r="J88" s="75"/>
      <c r="K88" s="75"/>
      <c r="L88" s="75"/>
      <c r="M88" s="75"/>
      <c r="N88" s="75"/>
      <c r="O88" s="75"/>
      <c r="P88" s="75"/>
      <c r="Q88" s="75"/>
    </row>
    <row r="89" spans="1:17" x14ac:dyDescent="0.25">
      <c r="A89" s="75"/>
      <c r="B89" s="75"/>
      <c r="C89" s="75"/>
      <c r="D89" s="75"/>
      <c r="E89" s="75"/>
      <c r="F89" s="75"/>
      <c r="G89" s="75"/>
      <c r="H89" s="75"/>
      <c r="I89" s="75"/>
      <c r="J89" s="75"/>
      <c r="K89" s="75"/>
      <c r="L89" s="75"/>
      <c r="M89" s="75"/>
      <c r="N89" s="75"/>
      <c r="O89" s="75"/>
      <c r="P89" s="75"/>
      <c r="Q89" s="75"/>
    </row>
    <row r="90" spans="1:17" x14ac:dyDescent="0.25">
      <c r="A90" s="75"/>
      <c r="B90" s="75"/>
      <c r="C90" s="75"/>
      <c r="D90" s="75"/>
      <c r="E90" s="75"/>
      <c r="F90" s="75"/>
      <c r="G90" s="75"/>
      <c r="H90" s="75"/>
      <c r="I90" s="75"/>
      <c r="J90" s="75"/>
      <c r="K90" s="75"/>
      <c r="L90" s="75"/>
      <c r="M90" s="75"/>
      <c r="N90" s="75"/>
      <c r="O90" s="75"/>
      <c r="P90" s="75"/>
      <c r="Q90" s="75"/>
    </row>
    <row r="91" spans="1:17" x14ac:dyDescent="0.25">
      <c r="A91" s="75"/>
      <c r="B91" s="75"/>
      <c r="C91" s="75"/>
      <c r="D91" s="75"/>
      <c r="E91" s="75"/>
      <c r="F91" s="75"/>
      <c r="G91" s="75"/>
      <c r="H91" s="75"/>
      <c r="I91" s="75"/>
      <c r="J91" s="75"/>
      <c r="K91" s="75"/>
      <c r="L91" s="75"/>
      <c r="M91" s="75"/>
      <c r="N91" s="75"/>
      <c r="O91" s="75"/>
      <c r="P91" s="75"/>
      <c r="Q91" s="75"/>
    </row>
    <row r="92" spans="1:17" x14ac:dyDescent="0.25">
      <c r="A92" s="75"/>
      <c r="B92" s="75"/>
      <c r="C92" s="75"/>
      <c r="D92" s="75"/>
      <c r="E92" s="75"/>
      <c r="F92" s="75"/>
      <c r="G92" s="75"/>
      <c r="H92" s="75"/>
      <c r="I92" s="75"/>
      <c r="J92" s="75"/>
      <c r="K92" s="75"/>
      <c r="L92" s="75"/>
      <c r="M92" s="75"/>
      <c r="N92" s="75"/>
      <c r="O92" s="75"/>
      <c r="P92" s="75"/>
      <c r="Q92" s="75"/>
    </row>
    <row r="93" spans="1:17" x14ac:dyDescent="0.25">
      <c r="A93" s="75"/>
      <c r="B93" s="75"/>
      <c r="C93" s="75"/>
      <c r="D93" s="75"/>
      <c r="E93" s="75"/>
      <c r="F93" s="75"/>
      <c r="G93" s="75"/>
      <c r="H93" s="75"/>
      <c r="I93" s="75"/>
      <c r="J93" s="75"/>
      <c r="K93" s="75"/>
      <c r="L93" s="75"/>
      <c r="M93" s="75"/>
      <c r="N93" s="75"/>
      <c r="O93" s="75"/>
      <c r="P93" s="75"/>
      <c r="Q93" s="75"/>
    </row>
    <row r="94" spans="1:17" x14ac:dyDescent="0.25">
      <c r="A94" s="75"/>
      <c r="B94" s="75"/>
      <c r="C94" s="75"/>
      <c r="D94" s="75"/>
      <c r="E94" s="75"/>
      <c r="F94" s="75"/>
      <c r="G94" s="75"/>
      <c r="H94" s="75"/>
      <c r="I94" s="75"/>
      <c r="J94" s="75"/>
      <c r="K94" s="75"/>
      <c r="L94" s="75"/>
      <c r="M94" s="75"/>
      <c r="N94" s="75"/>
      <c r="O94" s="75"/>
      <c r="P94" s="75"/>
      <c r="Q94" s="75"/>
    </row>
    <row r="95" spans="1:17" x14ac:dyDescent="0.25">
      <c r="A95" s="75"/>
      <c r="B95" s="75"/>
      <c r="C95" s="75"/>
      <c r="D95" s="75"/>
      <c r="E95" s="75"/>
      <c r="F95" s="75"/>
      <c r="G95" s="75"/>
      <c r="H95" s="75"/>
      <c r="I95" s="75"/>
      <c r="J95" s="75"/>
      <c r="K95" s="75"/>
      <c r="L95" s="75"/>
      <c r="M95" s="75"/>
      <c r="N95" s="75"/>
      <c r="O95" s="75"/>
      <c r="P95" s="75"/>
      <c r="Q95" s="75"/>
    </row>
    <row r="96" spans="1:17" x14ac:dyDescent="0.25">
      <c r="A96" s="75"/>
      <c r="B96" s="75"/>
      <c r="C96" s="75"/>
      <c r="D96" s="75"/>
      <c r="E96" s="75"/>
      <c r="F96" s="75"/>
      <c r="G96" s="75"/>
      <c r="H96" s="75"/>
      <c r="I96" s="75"/>
      <c r="J96" s="75"/>
      <c r="K96" s="75"/>
      <c r="L96" s="75"/>
      <c r="M96" s="75"/>
      <c r="N96" s="75"/>
      <c r="O96" s="75"/>
      <c r="P96" s="75"/>
      <c r="Q96" s="75"/>
    </row>
    <row r="97" spans="1:17" x14ac:dyDescent="0.25">
      <c r="A97" s="75"/>
      <c r="B97" s="75"/>
      <c r="C97" s="75"/>
      <c r="D97" s="75"/>
      <c r="E97" s="75"/>
      <c r="F97" s="75"/>
      <c r="G97" s="75"/>
      <c r="H97" s="75"/>
      <c r="I97" s="75"/>
      <c r="J97" s="75"/>
      <c r="K97" s="75"/>
      <c r="L97" s="75"/>
      <c r="M97" s="75"/>
      <c r="N97" s="75"/>
      <c r="O97" s="75"/>
      <c r="P97" s="75"/>
      <c r="Q97" s="75"/>
    </row>
    <row r="98" spans="1:17" x14ac:dyDescent="0.25">
      <c r="A98" s="75"/>
      <c r="B98" s="75"/>
      <c r="C98" s="75"/>
      <c r="D98" s="75"/>
      <c r="E98" s="75"/>
      <c r="F98" s="75"/>
      <c r="G98" s="75"/>
      <c r="H98" s="75"/>
      <c r="I98" s="75"/>
      <c r="J98" s="75"/>
      <c r="K98" s="75"/>
      <c r="L98" s="75"/>
      <c r="M98" s="75"/>
      <c r="N98" s="75"/>
      <c r="O98" s="75"/>
      <c r="P98" s="75"/>
      <c r="Q98" s="75"/>
    </row>
    <row r="99" spans="1:17" x14ac:dyDescent="0.25">
      <c r="A99" s="75"/>
      <c r="B99" s="75"/>
      <c r="C99" s="75"/>
      <c r="D99" s="75"/>
      <c r="E99" s="75"/>
      <c r="F99" s="75"/>
      <c r="G99" s="75"/>
      <c r="H99" s="75"/>
      <c r="I99" s="75"/>
      <c r="J99" s="75"/>
      <c r="K99" s="75"/>
      <c r="L99" s="75"/>
      <c r="M99" s="75"/>
      <c r="N99" s="75"/>
      <c r="O99" s="75"/>
      <c r="P99" s="75"/>
      <c r="Q99" s="75"/>
    </row>
    <row r="100" spans="1:17" x14ac:dyDescent="0.25">
      <c r="A100" s="75"/>
      <c r="B100" s="75"/>
      <c r="C100" s="75"/>
      <c r="D100" s="75"/>
      <c r="E100" s="75"/>
      <c r="F100" s="75"/>
      <c r="G100" s="75"/>
      <c r="H100" s="75"/>
      <c r="I100" s="75"/>
      <c r="J100" s="75"/>
      <c r="K100" s="75"/>
      <c r="L100" s="75"/>
      <c r="M100" s="75"/>
      <c r="N100" s="75"/>
      <c r="O100" s="75"/>
      <c r="P100" s="75"/>
      <c r="Q100" s="75"/>
    </row>
    <row r="101" spans="1:17" x14ac:dyDescent="0.25">
      <c r="A101" s="75"/>
      <c r="B101" s="75"/>
      <c r="C101" s="75"/>
      <c r="D101" s="75"/>
      <c r="E101" s="75"/>
      <c r="F101" s="75"/>
      <c r="G101" s="75"/>
      <c r="H101" s="75"/>
      <c r="I101" s="75"/>
      <c r="J101" s="75"/>
      <c r="K101" s="75"/>
      <c r="L101" s="75"/>
      <c r="M101" s="75"/>
      <c r="N101" s="75"/>
      <c r="O101" s="75"/>
      <c r="P101" s="75"/>
      <c r="Q101" s="75"/>
    </row>
    <row r="102" spans="1:17" x14ac:dyDescent="0.25">
      <c r="A102" s="75"/>
      <c r="B102" s="75"/>
      <c r="C102" s="75"/>
      <c r="D102" s="75"/>
      <c r="E102" s="75"/>
      <c r="F102" s="75"/>
      <c r="G102" s="75"/>
      <c r="H102" s="75"/>
      <c r="I102" s="75"/>
      <c r="J102" s="75"/>
      <c r="K102" s="75"/>
      <c r="L102" s="75"/>
      <c r="M102" s="75"/>
      <c r="N102" s="75"/>
      <c r="O102" s="75"/>
      <c r="P102" s="75"/>
      <c r="Q102" s="75"/>
    </row>
    <row r="103" spans="1:17" x14ac:dyDescent="0.25">
      <c r="A103" s="49"/>
      <c r="B103" s="49"/>
      <c r="C103" s="49"/>
      <c r="D103" s="49"/>
      <c r="E103" s="49"/>
      <c r="F103" s="49"/>
      <c r="G103" s="49"/>
      <c r="H103" s="49"/>
      <c r="I103" s="49"/>
      <c r="J103" s="49"/>
      <c r="K103" s="49"/>
      <c r="L103" s="18"/>
      <c r="M103" s="18"/>
      <c r="N103" s="18"/>
      <c r="O103" s="18"/>
      <c r="P103" s="18"/>
    </row>
    <row r="104" spans="1:17" x14ac:dyDescent="0.25">
      <c r="A104" s="50" t="s">
        <v>13</v>
      </c>
      <c r="B104" s="51" t="s">
        <v>0</v>
      </c>
      <c r="C104" s="51" t="s">
        <v>1</v>
      </c>
      <c r="D104" s="51" t="s">
        <v>2</v>
      </c>
      <c r="E104" s="52"/>
      <c r="F104" s="52" t="s">
        <v>15</v>
      </c>
      <c r="G104" s="52" t="s">
        <v>16</v>
      </c>
      <c r="H104" s="52" t="s">
        <v>19</v>
      </c>
      <c r="I104" s="52" t="s">
        <v>20</v>
      </c>
      <c r="J104" s="52"/>
      <c r="K104" s="53"/>
    </row>
    <row r="105" spans="1:17" x14ac:dyDescent="0.25">
      <c r="A105" s="54">
        <f>IF(A3&gt;0,1,0)</f>
        <v>1</v>
      </c>
      <c r="B105" s="55">
        <f>IF(SQRT((K3-M3)^2+(L3-N3)^2)&gt;0,SQRT((I3-K3)^2+(J3-L3)^2)/SQRT((K3-M3)^2+(L3-N3)^2),FALSE)</f>
        <v>1.2626070135193432</v>
      </c>
      <c r="C105" s="55">
        <f>IF(A3&gt;0,IF($Q$1="TPSDig",-ATAN((H105-I105)/(1+I105*H105)),ATAN((H105-I105)/(1+I105*H105)))*180/PI(),FALSE)</f>
        <v>-2.6684626069025401</v>
      </c>
      <c r="D105" s="55">
        <f>IF(SQRT((E3-G3)^2+(F3-H3)^2)&gt;0,SQRT((I3-M3)^2+(J3-N3)^2)/SQRT((E3-G3)^2+(F3-H3)^2),FALSE)</f>
        <v>0.85631379086348691</v>
      </c>
      <c r="E105" s="56"/>
      <c r="F105" s="76">
        <f>(POWER(D3,2)*A3-B3*D3*A3-D3*A3*F3-D3*B3*C3+D3*C3*F3-B3*C3*F3+POWER(B3,2)*C3+E3*POWER(C3,2)+POWER(A3,2)*E3-2*C3*E3*A3+A3*F3*B3)/(POWER(C3,2)-2*A3*C3+POWER(A3,2)+POWER(D3,2)-2*D3*B3+POWER(B3,2))</f>
        <v>997965910.71319282</v>
      </c>
      <c r="G105" s="76">
        <f>(-C3*D3*A3+B3*POWER(C3,2)+D3*POWER(A3,2)-A3*B3*C3+POWER(D3,2)*F3-2*D3*F3*B3+POWER(B3,2)*F3+E3*C3*D3-E3*B3*C3-E3*D3*A3+A3*E3*B3)/(POWER(C3,2)-2*A3*C3+POWER(A3,2)+POWER(D3,2)-2*D3*B3+POWER(B3,2))</f>
        <v>886571869.96512532</v>
      </c>
      <c r="H105" s="76">
        <f>(G105-F3)/(F105-E3)</f>
        <v>-61.476190476170359</v>
      </c>
      <c r="I105" s="77">
        <f>(G105-P3)/(F105-O3)</f>
        <v>32.984014288856329</v>
      </c>
      <c r="J105" s="53"/>
      <c r="K105" s="53"/>
    </row>
    <row r="106" spans="1:17" x14ac:dyDescent="0.25">
      <c r="A106" s="54">
        <f t="shared" ref="A106:A137" si="0">IF(A4&gt;0,A105+1,0)</f>
        <v>2</v>
      </c>
      <c r="B106" s="55">
        <f t="shared" ref="B106:B169" si="1">IF(SQRT((K4-M4)^2+(L4-N4)^2)&gt;0,SQRT((I4-K4)^2+(J4-L4)^2)/SQRT((K4-M4)^2+(L4-N4)^2),FALSE)</f>
        <v>1.4110486900645089</v>
      </c>
      <c r="C106" s="55">
        <f t="shared" ref="C106:C169" si="2">IF(A4&gt;0,IF($Q$1="TPSDig",-ATAN((H106-I106)/(1+I106*H106)),ATAN((H106-I106)/(1+I106*H106)))*180/PI(),FALSE)</f>
        <v>-4.9316434441713071</v>
      </c>
      <c r="D106" s="55">
        <f t="shared" ref="D106:D169" si="3">IF(SQRT((E4-G4)^2+(F4-H4)^2)&gt;0,SQRT((I4-M4)^2+(J4-N4)^2)/SQRT((E4-G4)^2+(F4-H4)^2),FALSE)</f>
        <v>0.8237946668540852</v>
      </c>
      <c r="E106" s="56"/>
      <c r="F106" s="76">
        <f t="shared" ref="F106:F169" si="4">(POWER(D4,2)*A4-B4*D4*A4-D4*A4*F4-D4*B4*C4+D4*C4*F4-B4*C4*F4+POWER(B4,2)*C4+E4*POWER(C4,2)+POWER(A4,2)*E4-2*C4*E4*A4+A4*F4*B4)/(POWER(C4,2)-2*A4*C4+POWER(A4,2)+POWER(D4,2)-2*D4*B4+POWER(B4,2))</f>
        <v>1049401589.7694668</v>
      </c>
      <c r="G106" s="76">
        <f t="shared" ref="G106:G169" si="5">(-C4*D4*A4+B4*POWER(C4,2)+D4*POWER(A4,2)-A4*B4*C4+POWER(D4,2)*F4-2*D4*F4*B4+POWER(B4,2)*F4+E4*C4*D4-E4*B4*C4-E4*D4*A4+A4*E4*B4)/(POWER(C4,2)-2*A4*C4+POWER(A4,2)+POWER(D4,2)-2*D4*B4+POWER(B4,2))</f>
        <v>869982546.95609295</v>
      </c>
      <c r="H106" s="76">
        <f t="shared" ref="H106:H169" si="6">(G106-F4)/(F106-E4)</f>
        <v>186.71428571414282</v>
      </c>
      <c r="I106" s="77">
        <f t="shared" ref="I106:I169" si="7">(G106-P4)/(F106-O4)</f>
        <v>10.906938483532809</v>
      </c>
      <c r="J106" s="53"/>
      <c r="K106" s="53"/>
    </row>
    <row r="107" spans="1:17" x14ac:dyDescent="0.25">
      <c r="A107" s="54">
        <f t="shared" si="0"/>
        <v>3</v>
      </c>
      <c r="B107" s="55">
        <f t="shared" si="1"/>
        <v>1.3970928948001387</v>
      </c>
      <c r="C107" s="55">
        <f t="shared" si="2"/>
        <v>-4.8083127926878433</v>
      </c>
      <c r="D107" s="55">
        <f t="shared" si="3"/>
        <v>0.80539681058715062</v>
      </c>
      <c r="E107" s="56"/>
      <c r="F107" s="76">
        <f t="shared" si="4"/>
        <v>1049217621.6526154</v>
      </c>
      <c r="G107" s="76">
        <f t="shared" si="5"/>
        <v>868271091.2315954</v>
      </c>
      <c r="H107" s="76">
        <f t="shared" si="6"/>
        <v>327.50000000019639</v>
      </c>
      <c r="I107" s="77">
        <f t="shared" si="7"/>
        <v>11.468641210511102</v>
      </c>
      <c r="J107" s="53"/>
      <c r="K107" s="53"/>
    </row>
    <row r="108" spans="1:17" x14ac:dyDescent="0.25">
      <c r="A108" s="54">
        <f t="shared" si="0"/>
        <v>4</v>
      </c>
      <c r="B108" s="55">
        <f t="shared" si="1"/>
        <v>1.5152208616653291</v>
      </c>
      <c r="C108" s="55">
        <f t="shared" si="2"/>
        <v>-3.7636542221458091</v>
      </c>
      <c r="D108" s="55">
        <f t="shared" si="3"/>
        <v>0.90698769183806183</v>
      </c>
      <c r="E108" s="56"/>
      <c r="F108" s="76">
        <f t="shared" si="4"/>
        <v>1040172332.6437776</v>
      </c>
      <c r="G108" s="76">
        <f t="shared" si="5"/>
        <v>877344802.14445651</v>
      </c>
      <c r="H108" s="76">
        <f t="shared" si="6"/>
        <v>55.739130434767965</v>
      </c>
      <c r="I108" s="77">
        <f t="shared" si="7"/>
        <v>11.92997881801015</v>
      </c>
      <c r="J108" s="53"/>
      <c r="K108" s="53"/>
    </row>
    <row r="109" spans="1:17" x14ac:dyDescent="0.25">
      <c r="A109" s="54">
        <f t="shared" si="0"/>
        <v>5</v>
      </c>
      <c r="B109" s="55">
        <f t="shared" si="1"/>
        <v>1.8090879062408518</v>
      </c>
      <c r="C109" s="55">
        <f t="shared" si="2"/>
        <v>-4.6579397829616793</v>
      </c>
      <c r="D109" s="55">
        <f t="shared" si="3"/>
        <v>0.88299957033836651</v>
      </c>
      <c r="E109" s="56"/>
      <c r="F109" s="76">
        <f t="shared" si="4"/>
        <v>1058739339.1455914</v>
      </c>
      <c r="G109" s="76">
        <f t="shared" si="5"/>
        <v>877198368.26666284</v>
      </c>
      <c r="H109" s="76">
        <f t="shared" si="6"/>
        <v>-257.8000000004609</v>
      </c>
      <c r="I109" s="77">
        <f t="shared" si="7"/>
        <v>12.891171842670031</v>
      </c>
      <c r="J109" s="53"/>
      <c r="K109" s="53"/>
    </row>
    <row r="110" spans="1:17" x14ac:dyDescent="0.25">
      <c r="A110" s="54">
        <f t="shared" si="0"/>
        <v>6</v>
      </c>
      <c r="B110" s="55">
        <f t="shared" si="1"/>
        <v>1.4082701577665713</v>
      </c>
      <c r="C110" s="55">
        <f t="shared" si="2"/>
        <v>-3.8726624621959367</v>
      </c>
      <c r="D110" s="55">
        <f t="shared" si="3"/>
        <v>0.83826787677931225</v>
      </c>
      <c r="E110" s="56"/>
      <c r="F110" s="76">
        <f t="shared" si="4"/>
        <v>1027757040.0020539</v>
      </c>
      <c r="G110" s="76">
        <f t="shared" si="5"/>
        <v>877149167.47459781</v>
      </c>
      <c r="H110" s="76">
        <f t="shared" si="6"/>
        <v>-255.7999999998946</v>
      </c>
      <c r="I110" s="77">
        <f t="shared" si="7"/>
        <v>15.681932923548652</v>
      </c>
      <c r="J110" s="53"/>
      <c r="K110" s="53"/>
    </row>
    <row r="111" spans="1:17" x14ac:dyDescent="0.25">
      <c r="A111" s="54">
        <f t="shared" si="0"/>
        <v>7</v>
      </c>
      <c r="B111" s="55">
        <f t="shared" si="1"/>
        <v>1.434152613613296</v>
      </c>
      <c r="C111" s="55">
        <f t="shared" si="2"/>
        <v>-2.886617787206224</v>
      </c>
      <c r="D111" s="55">
        <f t="shared" si="3"/>
        <v>0.91770721305868463</v>
      </c>
      <c r="E111" s="56"/>
      <c r="F111" s="76">
        <f t="shared" si="4"/>
        <v>1022125516.3160667</v>
      </c>
      <c r="G111" s="76">
        <f t="shared" si="5"/>
        <v>848614557.47759807</v>
      </c>
      <c r="H111" s="76">
        <f t="shared" si="6"/>
        <v>-80.74999999998569</v>
      </c>
      <c r="I111" s="77">
        <f t="shared" si="7"/>
        <v>26.30470366576019</v>
      </c>
      <c r="J111" s="53"/>
      <c r="K111" s="53"/>
    </row>
    <row r="112" spans="1:17" x14ac:dyDescent="0.25">
      <c r="A112" s="54">
        <f t="shared" si="0"/>
        <v>8</v>
      </c>
      <c r="B112" s="55">
        <f t="shared" si="1"/>
        <v>1.457615984110074</v>
      </c>
      <c r="C112" s="55">
        <f t="shared" si="2"/>
        <v>-4.8886031145664619</v>
      </c>
      <c r="D112" s="55">
        <f t="shared" si="3"/>
        <v>0.86740475860341337</v>
      </c>
      <c r="E112" s="56"/>
      <c r="F112" s="76">
        <f t="shared" si="4"/>
        <v>1041522368.2447147</v>
      </c>
      <c r="G112" s="76">
        <f t="shared" si="5"/>
        <v>877366683.74693775</v>
      </c>
      <c r="H112" s="76">
        <f t="shared" si="6"/>
        <v>138.53576376270132</v>
      </c>
      <c r="I112" s="77">
        <f t="shared" si="7"/>
        <v>10.775221192646137</v>
      </c>
      <c r="J112" s="53"/>
      <c r="K112" s="53"/>
    </row>
    <row r="113" spans="1:11" x14ac:dyDescent="0.25">
      <c r="A113" s="54">
        <f t="shared" si="0"/>
        <v>9</v>
      </c>
      <c r="B113" s="55">
        <f t="shared" si="1"/>
        <v>1.3886551296096701</v>
      </c>
      <c r="C113" s="55">
        <f t="shared" si="2"/>
        <v>-4.852979111591269</v>
      </c>
      <c r="D113" s="55">
        <f t="shared" si="3"/>
        <v>0.86447517308111865</v>
      </c>
      <c r="E113" s="56"/>
      <c r="F113" s="76">
        <f t="shared" si="4"/>
        <v>1033422771.3751769</v>
      </c>
      <c r="G113" s="76">
        <f t="shared" si="5"/>
        <v>855825241.33561528</v>
      </c>
      <c r="H113" s="76">
        <f t="shared" si="6"/>
        <v>49.076923076930221</v>
      </c>
      <c r="I113" s="77">
        <f t="shared" si="7"/>
        <v>9.4820680964689394</v>
      </c>
      <c r="J113" s="53"/>
      <c r="K113" s="53"/>
    </row>
    <row r="114" spans="1:11" x14ac:dyDescent="0.25">
      <c r="A114" s="54">
        <f t="shared" si="0"/>
        <v>10</v>
      </c>
      <c r="B114" s="55">
        <f t="shared" si="1"/>
        <v>1.5121630858581008</v>
      </c>
      <c r="C114" s="55">
        <f t="shared" si="2"/>
        <v>-4.9864935974229718</v>
      </c>
      <c r="D114" s="55">
        <f t="shared" si="3"/>
        <v>0.83966281247175023</v>
      </c>
      <c r="E114" s="56"/>
      <c r="F114" s="76">
        <f t="shared" si="4"/>
        <v>1032681115.8695296</v>
      </c>
      <c r="G114" s="76">
        <f t="shared" si="5"/>
        <v>870787558.34074783</v>
      </c>
      <c r="H114" s="76">
        <f t="shared" si="6"/>
        <v>108.33334186106588</v>
      </c>
      <c r="I114" s="77">
        <f t="shared" si="7"/>
        <v>10.356290565364239</v>
      </c>
      <c r="J114" s="53"/>
      <c r="K114" s="53"/>
    </row>
    <row r="115" spans="1:11" x14ac:dyDescent="0.25">
      <c r="A115" s="54">
        <f t="shared" si="0"/>
        <v>11</v>
      </c>
      <c r="B115" s="55">
        <f t="shared" si="1"/>
        <v>1.4282115105923434</v>
      </c>
      <c r="C115" s="55">
        <f t="shared" si="2"/>
        <v>-1.8884006427466298</v>
      </c>
      <c r="D115" s="55">
        <f t="shared" si="3"/>
        <v>0.90780211236216835</v>
      </c>
      <c r="E115" s="56"/>
      <c r="F115" s="76">
        <f t="shared" si="4"/>
        <v>1014731770.8196362</v>
      </c>
      <c r="G115" s="76">
        <f t="shared" si="5"/>
        <v>890810415.47225177</v>
      </c>
      <c r="H115" s="76">
        <f t="shared" si="6"/>
        <v>87.199999999962955</v>
      </c>
      <c r="I115" s="77">
        <f t="shared" si="7"/>
        <v>22.494431370049618</v>
      </c>
      <c r="J115" s="53"/>
      <c r="K115" s="53"/>
    </row>
    <row r="116" spans="1:11" x14ac:dyDescent="0.25">
      <c r="A116" s="54">
        <f t="shared" si="0"/>
        <v>12</v>
      </c>
      <c r="B116" s="55">
        <f t="shared" si="1"/>
        <v>1.4867666423160466</v>
      </c>
      <c r="C116" s="55">
        <f t="shared" si="2"/>
        <v>-3.8855214414860804</v>
      </c>
      <c r="D116" s="55">
        <f t="shared" si="3"/>
        <v>0.81670378727059412</v>
      </c>
      <c r="E116" s="56"/>
      <c r="F116" s="76">
        <f t="shared" si="4"/>
        <v>1042707029.477077</v>
      </c>
      <c r="G116" s="76">
        <f t="shared" si="5"/>
        <v>894286147.26658487</v>
      </c>
      <c r="H116" s="76">
        <f t="shared" si="6"/>
        <v>-58.227272727290782</v>
      </c>
      <c r="I116" s="77">
        <f t="shared" si="7"/>
        <v>19.729280145078263</v>
      </c>
      <c r="J116" s="53"/>
      <c r="K116" s="53"/>
    </row>
    <row r="117" spans="1:11" x14ac:dyDescent="0.25">
      <c r="A117" s="54">
        <f t="shared" si="0"/>
        <v>13</v>
      </c>
      <c r="B117" s="55">
        <f t="shared" si="1"/>
        <v>1.4243093464185492</v>
      </c>
      <c r="C117" s="55">
        <f t="shared" si="2"/>
        <v>-6.0150370787342728</v>
      </c>
      <c r="D117" s="55">
        <f t="shared" si="3"/>
        <v>0.78387965815955563</v>
      </c>
      <c r="E117" s="56"/>
      <c r="F117" s="76">
        <f t="shared" si="4"/>
        <v>1046966023.0277313</v>
      </c>
      <c r="G117" s="76">
        <f t="shared" si="5"/>
        <v>883050955.5090698</v>
      </c>
      <c r="H117" s="76">
        <f t="shared" si="6"/>
        <v>70.444444444442652</v>
      </c>
      <c r="I117" s="77">
        <f t="shared" si="7"/>
        <v>8.3511293546608734</v>
      </c>
      <c r="J117" s="53"/>
      <c r="K117" s="53"/>
    </row>
    <row r="118" spans="1:11" x14ac:dyDescent="0.25">
      <c r="A118" s="54">
        <f t="shared" si="0"/>
        <v>14</v>
      </c>
      <c r="B118" s="55">
        <f t="shared" si="1"/>
        <v>1.6170842575913029</v>
      </c>
      <c r="C118" s="55">
        <f t="shared" si="2"/>
        <v>-4.9263530812072149</v>
      </c>
      <c r="D118" s="55">
        <f t="shared" si="3"/>
        <v>0.90855299859134342</v>
      </c>
      <c r="E118" s="56"/>
      <c r="F118" s="76">
        <f t="shared" si="4"/>
        <v>1046949542.2010031</v>
      </c>
      <c r="G118" s="76">
        <f t="shared" si="5"/>
        <v>880093074.66530657</v>
      </c>
      <c r="H118" s="76">
        <f t="shared" si="6"/>
        <v>78.030312488519556</v>
      </c>
      <c r="I118" s="77">
        <f t="shared" si="7"/>
        <v>10.088922849310041</v>
      </c>
      <c r="J118" s="53"/>
      <c r="K118" s="53"/>
    </row>
    <row r="119" spans="1:11" x14ac:dyDescent="0.25">
      <c r="A119" s="54">
        <f t="shared" si="0"/>
        <v>15</v>
      </c>
      <c r="B119" s="55">
        <f t="shared" si="1"/>
        <v>1.5963541551080593</v>
      </c>
      <c r="C119" s="55">
        <f t="shared" si="2"/>
        <v>-3.6106317132264709</v>
      </c>
      <c r="D119" s="55">
        <f t="shared" si="3"/>
        <v>0.81052363916299175</v>
      </c>
      <c r="E119" s="56"/>
      <c r="F119" s="76">
        <f t="shared" si="4"/>
        <v>1030053176.5149627</v>
      </c>
      <c r="G119" s="76">
        <f t="shared" si="5"/>
        <v>872296809.07301807</v>
      </c>
      <c r="H119" s="76">
        <f t="shared" si="6"/>
        <v>72.44446490123471</v>
      </c>
      <c r="I119" s="77">
        <f t="shared" si="7"/>
        <v>12.991790644238185</v>
      </c>
      <c r="J119" s="53"/>
      <c r="K119" s="53"/>
    </row>
    <row r="120" spans="1:11" x14ac:dyDescent="0.25">
      <c r="A120" s="54">
        <f t="shared" si="0"/>
        <v>16</v>
      </c>
      <c r="B120" s="55">
        <f t="shared" si="1"/>
        <v>1.4964911953946169</v>
      </c>
      <c r="C120" s="55">
        <f t="shared" si="2"/>
        <v>-2.9216155333568046</v>
      </c>
      <c r="D120" s="55">
        <f t="shared" si="3"/>
        <v>0.88641422566491623</v>
      </c>
      <c r="E120" s="56"/>
      <c r="F120" s="76">
        <f t="shared" si="4"/>
        <v>1032901528.5750674</v>
      </c>
      <c r="G120" s="76">
        <f t="shared" si="5"/>
        <v>841457594.70059109</v>
      </c>
      <c r="H120" s="76">
        <f t="shared" si="6"/>
        <v>70.388888888903836</v>
      </c>
      <c r="I120" s="77">
        <f t="shared" si="7"/>
        <v>15.316239185311639</v>
      </c>
      <c r="J120" s="53"/>
      <c r="K120" s="53"/>
    </row>
    <row r="121" spans="1:11" x14ac:dyDescent="0.25">
      <c r="A121" s="54">
        <f t="shared" si="0"/>
        <v>17</v>
      </c>
      <c r="B121" s="55">
        <f t="shared" si="1"/>
        <v>1.5213083464463475</v>
      </c>
      <c r="C121" s="55">
        <f t="shared" si="2"/>
        <v>-4.3103198810945917</v>
      </c>
      <c r="D121" s="55">
        <f t="shared" si="3"/>
        <v>0.82588245907720026</v>
      </c>
      <c r="E121" s="56"/>
      <c r="F121" s="76">
        <f t="shared" si="4"/>
        <v>1065330426.7538925</v>
      </c>
      <c r="G121" s="76">
        <f t="shared" si="5"/>
        <v>876446762.23956144</v>
      </c>
      <c r="H121" s="76">
        <f t="shared" si="6"/>
        <v>49.192307692308781</v>
      </c>
      <c r="I121" s="77">
        <f t="shared" si="7"/>
        <v>10.433321892571385</v>
      </c>
      <c r="J121" s="53"/>
      <c r="K121" s="53"/>
    </row>
    <row r="122" spans="1:11" x14ac:dyDescent="0.25">
      <c r="A122" s="54">
        <f t="shared" si="0"/>
        <v>18</v>
      </c>
      <c r="B122" s="55">
        <f t="shared" si="1"/>
        <v>1.3651878800254351</v>
      </c>
      <c r="C122" s="55">
        <f t="shared" si="2"/>
        <v>-4.6048660800736227</v>
      </c>
      <c r="D122" s="55">
        <f t="shared" si="3"/>
        <v>0.82430399518174657</v>
      </c>
      <c r="E122" s="56"/>
      <c r="F122" s="76">
        <f t="shared" si="4"/>
        <v>1051764232.1047751</v>
      </c>
      <c r="G122" s="76">
        <f t="shared" si="5"/>
        <v>873818061.57195699</v>
      </c>
      <c r="H122" s="76">
        <f t="shared" si="6"/>
        <v>91.357142857150507</v>
      </c>
      <c r="I122" s="77">
        <f t="shared" si="7"/>
        <v>10.920565176522281</v>
      </c>
      <c r="J122" s="53"/>
      <c r="K122" s="53"/>
    </row>
    <row r="123" spans="1:11" x14ac:dyDescent="0.25">
      <c r="A123" s="54">
        <f t="shared" si="0"/>
        <v>19</v>
      </c>
      <c r="B123" s="55">
        <f t="shared" si="1"/>
        <v>1.4202825916269763</v>
      </c>
      <c r="C123" s="55">
        <f t="shared" si="2"/>
        <v>-3.4567376821430971</v>
      </c>
      <c r="D123" s="55">
        <f t="shared" si="3"/>
        <v>0.8474675738635713</v>
      </c>
      <c r="E123" s="56"/>
      <c r="F123" s="76">
        <f t="shared" si="4"/>
        <v>1055703221.9590412</v>
      </c>
      <c r="G123" s="76">
        <f t="shared" si="5"/>
        <v>895352092.36937213</v>
      </c>
      <c r="H123" s="76">
        <f t="shared" si="6"/>
        <v>43.06666666666441</v>
      </c>
      <c r="I123" s="77">
        <f t="shared" si="7"/>
        <v>11.94143486822264</v>
      </c>
      <c r="J123" s="53"/>
      <c r="K123" s="53"/>
    </row>
    <row r="124" spans="1:11" x14ac:dyDescent="0.25">
      <c r="A124" s="54">
        <f t="shared" si="0"/>
        <v>20</v>
      </c>
      <c r="B124" s="55">
        <f t="shared" si="1"/>
        <v>1.3981872933510322</v>
      </c>
      <c r="C124" s="55">
        <f t="shared" si="2"/>
        <v>-3.5408610476124687</v>
      </c>
      <c r="D124" s="55">
        <f t="shared" si="3"/>
        <v>0.81845011257771183</v>
      </c>
      <c r="E124" s="56"/>
      <c r="F124" s="76">
        <f t="shared" si="4"/>
        <v>1020961546.6587874</v>
      </c>
      <c r="G124" s="76">
        <f t="shared" si="5"/>
        <v>865030918.76535666</v>
      </c>
      <c r="H124" s="76">
        <f t="shared" si="6"/>
        <v>67.63157894736878</v>
      </c>
      <c r="I124" s="77">
        <f t="shared" si="7"/>
        <v>13.031917490318056</v>
      </c>
      <c r="J124" s="53"/>
      <c r="K124" s="53"/>
    </row>
    <row r="125" spans="1:11" x14ac:dyDescent="0.25">
      <c r="A125" s="54">
        <f t="shared" si="0"/>
        <v>21</v>
      </c>
      <c r="B125" s="55">
        <f t="shared" si="1"/>
        <v>1.3397511506515163</v>
      </c>
      <c r="C125" s="55">
        <f t="shared" si="2"/>
        <v>-4.4542031351921905</v>
      </c>
      <c r="D125" s="55">
        <f t="shared" si="3"/>
        <v>0.7996103867123312</v>
      </c>
      <c r="E125" s="56"/>
      <c r="F125" s="76">
        <f t="shared" si="4"/>
        <v>1004203751.3916531</v>
      </c>
      <c r="G125" s="76">
        <f t="shared" si="5"/>
        <v>890832683.49902153</v>
      </c>
      <c r="H125" s="76">
        <f t="shared" si="6"/>
        <v>57.181810111551783</v>
      </c>
      <c r="I125" s="77">
        <f t="shared" si="7"/>
        <v>10.469483249441684</v>
      </c>
      <c r="J125" s="53"/>
      <c r="K125" s="53"/>
    </row>
    <row r="126" spans="1:11" x14ac:dyDescent="0.25">
      <c r="A126" s="54">
        <f t="shared" si="0"/>
        <v>22</v>
      </c>
      <c r="B126" s="55">
        <f t="shared" si="1"/>
        <v>1.3991932779235556</v>
      </c>
      <c r="C126" s="55">
        <f t="shared" si="2"/>
        <v>-3.2562577411400477</v>
      </c>
      <c r="D126" s="55">
        <f t="shared" si="3"/>
        <v>0.85563026884200899</v>
      </c>
      <c r="E126" s="56"/>
      <c r="F126" s="76">
        <f t="shared" si="4"/>
        <v>1018499357.7853365</v>
      </c>
      <c r="G126" s="76">
        <f t="shared" si="5"/>
        <v>892713232.59183729</v>
      </c>
      <c r="H126" s="76">
        <f t="shared" si="6"/>
        <v>43.827586206910276</v>
      </c>
      <c r="I126" s="77">
        <f t="shared" si="7"/>
        <v>12.529134237337932</v>
      </c>
      <c r="J126" s="53"/>
      <c r="K126" s="53"/>
    </row>
    <row r="127" spans="1:11" x14ac:dyDescent="0.25">
      <c r="A127" s="54">
        <f t="shared" si="0"/>
        <v>23</v>
      </c>
      <c r="B127" s="55">
        <f t="shared" si="1"/>
        <v>1.4383727883864668</v>
      </c>
      <c r="C127" s="55">
        <f t="shared" si="2"/>
        <v>-3.9252765242877001</v>
      </c>
      <c r="D127" s="55">
        <f t="shared" si="3"/>
        <v>0.78968048435824822</v>
      </c>
      <c r="E127" s="56"/>
      <c r="F127" s="76">
        <f t="shared" si="4"/>
        <v>1042492987.7726245</v>
      </c>
      <c r="G127" s="76">
        <f t="shared" si="5"/>
        <v>852099815.79624486</v>
      </c>
      <c r="H127" s="76">
        <f t="shared" si="6"/>
        <v>144.22227029634948</v>
      </c>
      <c r="I127" s="77">
        <f t="shared" si="7"/>
        <v>13.229948111840242</v>
      </c>
      <c r="J127" s="53"/>
      <c r="K127" s="53"/>
    </row>
    <row r="128" spans="1:11" x14ac:dyDescent="0.25">
      <c r="A128" s="54">
        <f t="shared" si="0"/>
        <v>24</v>
      </c>
      <c r="B128" s="55">
        <f t="shared" si="1"/>
        <v>1.4613188834353577</v>
      </c>
      <c r="C128" s="55">
        <f t="shared" si="2"/>
        <v>-2.0638502119792119</v>
      </c>
      <c r="D128" s="55">
        <f t="shared" si="3"/>
        <v>0.86744270740412355</v>
      </c>
      <c r="E128" s="56"/>
      <c r="F128" s="76">
        <f t="shared" si="4"/>
        <v>1057367050.0749079</v>
      </c>
      <c r="G128" s="76">
        <f t="shared" si="5"/>
        <v>868012856.53323615</v>
      </c>
      <c r="H128" s="76">
        <f t="shared" si="6"/>
        <v>182.57142857156799</v>
      </c>
      <c r="I128" s="77">
        <f t="shared" si="7"/>
        <v>24.083576081859217</v>
      </c>
      <c r="J128" s="53"/>
      <c r="K128" s="53"/>
    </row>
    <row r="129" spans="1:11" x14ac:dyDescent="0.25">
      <c r="A129" s="54">
        <f t="shared" si="0"/>
        <v>25</v>
      </c>
      <c r="B129" s="55">
        <f t="shared" si="1"/>
        <v>1.5122216033726252</v>
      </c>
      <c r="C129" s="55">
        <f t="shared" si="2"/>
        <v>-4.5573537713311199</v>
      </c>
      <c r="D129" s="55">
        <f t="shared" si="3"/>
        <v>0.80448031442260104</v>
      </c>
      <c r="E129" s="56"/>
      <c r="F129" s="76">
        <f t="shared" si="4"/>
        <v>1060949009.017499</v>
      </c>
      <c r="G129" s="76">
        <f t="shared" si="5"/>
        <v>884441250.19878531</v>
      </c>
      <c r="H129" s="76">
        <f t="shared" si="6"/>
        <v>-1302.9999999988872</v>
      </c>
      <c r="I129" s="77">
        <f t="shared" si="7"/>
        <v>12.668376925194007</v>
      </c>
      <c r="J129" s="53"/>
      <c r="K129" s="53"/>
    </row>
    <row r="130" spans="1:11" x14ac:dyDescent="0.25">
      <c r="A130" s="54">
        <f t="shared" si="0"/>
        <v>26</v>
      </c>
      <c r="B130" s="55">
        <f t="shared" si="1"/>
        <v>1.1265890995242667</v>
      </c>
      <c r="C130" s="55">
        <f t="shared" si="2"/>
        <v>-6.6836737105143449</v>
      </c>
      <c r="D130" s="55">
        <f t="shared" si="3"/>
        <v>0.7249616498777266</v>
      </c>
      <c r="E130" s="56"/>
      <c r="F130" s="76">
        <f t="shared" si="4"/>
        <v>1036720244.1843423</v>
      </c>
      <c r="G130" s="76">
        <f t="shared" si="5"/>
        <v>907616173.76770306</v>
      </c>
      <c r="H130" s="76">
        <f t="shared" si="6"/>
        <v>89.714259653080376</v>
      </c>
      <c r="I130" s="77">
        <f t="shared" si="7"/>
        <v>7.7821935147090739</v>
      </c>
      <c r="J130" s="53"/>
      <c r="K130" s="53"/>
    </row>
    <row r="131" spans="1:11" x14ac:dyDescent="0.25">
      <c r="A131" s="54">
        <f t="shared" si="0"/>
        <v>27</v>
      </c>
      <c r="B131" s="55">
        <f t="shared" si="1"/>
        <v>1.3395313136677256</v>
      </c>
      <c r="C131" s="55">
        <f t="shared" si="2"/>
        <v>-2.4694710723225199</v>
      </c>
      <c r="D131" s="55">
        <f t="shared" si="3"/>
        <v>0.84969551009130739</v>
      </c>
      <c r="E131" s="56"/>
      <c r="F131" s="76">
        <f t="shared" si="4"/>
        <v>1023624385.3782179</v>
      </c>
      <c r="G131" s="76">
        <f t="shared" si="5"/>
        <v>887378679.53387988</v>
      </c>
      <c r="H131" s="76">
        <f t="shared" si="6"/>
        <v>-53.342468429726459</v>
      </c>
      <c r="I131" s="77">
        <f t="shared" si="7"/>
        <v>41.049850218622382</v>
      </c>
      <c r="J131" s="53"/>
      <c r="K131" s="53"/>
    </row>
    <row r="132" spans="1:11" x14ac:dyDescent="0.25">
      <c r="A132" s="54">
        <f t="shared" si="0"/>
        <v>28</v>
      </c>
      <c r="B132" s="55">
        <f t="shared" si="1"/>
        <v>1.3507880663566374</v>
      </c>
      <c r="C132" s="55">
        <f t="shared" si="2"/>
        <v>-3.3210731431633951</v>
      </c>
      <c r="D132" s="55">
        <f t="shared" si="3"/>
        <v>0.8883911740868019</v>
      </c>
      <c r="E132" s="56"/>
      <c r="F132" s="76">
        <f t="shared" si="4"/>
        <v>1018012398.3679039</v>
      </c>
      <c r="G132" s="76">
        <f t="shared" si="5"/>
        <v>841906975.50703514</v>
      </c>
      <c r="H132" s="76">
        <f t="shared" si="6"/>
        <v>5719.0572223991894</v>
      </c>
      <c r="I132" s="77">
        <f t="shared" si="7"/>
        <v>17.180917842343195</v>
      </c>
      <c r="J132" s="53"/>
      <c r="K132" s="53"/>
    </row>
    <row r="133" spans="1:11" x14ac:dyDescent="0.25">
      <c r="A133" s="54">
        <f t="shared" si="0"/>
        <v>29</v>
      </c>
      <c r="B133" s="55">
        <f t="shared" si="1"/>
        <v>1.4159465909295745</v>
      </c>
      <c r="C133" s="55">
        <f t="shared" si="2"/>
        <v>-6.1821925596978904</v>
      </c>
      <c r="D133" s="55">
        <f t="shared" si="3"/>
        <v>0.77202449817394792</v>
      </c>
      <c r="E133" s="56"/>
      <c r="F133" s="76">
        <f t="shared" si="4"/>
        <v>1030645934.3038254</v>
      </c>
      <c r="G133" s="76">
        <f t="shared" si="5"/>
        <v>879179251.18173671</v>
      </c>
      <c r="H133" s="76">
        <f t="shared" si="6"/>
        <v>-54.782608695649643</v>
      </c>
      <c r="I133" s="77">
        <f t="shared" si="7"/>
        <v>11.124880521904991</v>
      </c>
      <c r="J133" s="53"/>
      <c r="K133" s="53"/>
    </row>
    <row r="134" spans="1:11" x14ac:dyDescent="0.25">
      <c r="A134" s="54">
        <f t="shared" si="0"/>
        <v>30</v>
      </c>
      <c r="B134" s="55">
        <f t="shared" si="1"/>
        <v>1.2625144360472995</v>
      </c>
      <c r="C134" s="55">
        <f t="shared" si="2"/>
        <v>-3.1323700105419423</v>
      </c>
      <c r="D134" s="55">
        <f t="shared" si="3"/>
        <v>0.89251317755290194</v>
      </c>
      <c r="E134" s="56"/>
      <c r="F134" s="76">
        <f t="shared" si="4"/>
        <v>1042914421.7767063</v>
      </c>
      <c r="G134" s="76">
        <f t="shared" si="5"/>
        <v>869345181.96249032</v>
      </c>
      <c r="H134" s="76">
        <f t="shared" si="6"/>
        <v>-59.272727272721063</v>
      </c>
      <c r="I134" s="77">
        <f t="shared" si="7"/>
        <v>26.442001728781975</v>
      </c>
      <c r="J134" s="53"/>
      <c r="K134" s="53"/>
    </row>
    <row r="135" spans="1:11" x14ac:dyDescent="0.25">
      <c r="A135" s="54">
        <f t="shared" si="0"/>
        <v>0</v>
      </c>
      <c r="B135" s="55" t="b">
        <f t="shared" si="1"/>
        <v>0</v>
      </c>
      <c r="C135" s="55" t="b">
        <f t="shared" si="2"/>
        <v>0</v>
      </c>
      <c r="D135" s="55" t="b">
        <f t="shared" si="3"/>
        <v>0</v>
      </c>
      <c r="E135" s="56"/>
      <c r="F135" s="76" t="e">
        <f t="shared" si="4"/>
        <v>#DIV/0!</v>
      </c>
      <c r="G135" s="76" t="e">
        <f t="shared" si="5"/>
        <v>#DIV/0!</v>
      </c>
      <c r="H135" s="76" t="e">
        <f t="shared" si="6"/>
        <v>#DIV/0!</v>
      </c>
      <c r="I135" s="77" t="e">
        <f t="shared" si="7"/>
        <v>#DIV/0!</v>
      </c>
      <c r="J135" s="53"/>
      <c r="K135" s="53"/>
    </row>
    <row r="136" spans="1:11" x14ac:dyDescent="0.25">
      <c r="A136" s="54">
        <f t="shared" si="0"/>
        <v>0</v>
      </c>
      <c r="B136" s="55" t="b">
        <f t="shared" si="1"/>
        <v>0</v>
      </c>
      <c r="C136" s="55" t="b">
        <f t="shared" si="2"/>
        <v>0</v>
      </c>
      <c r="D136" s="55" t="b">
        <f t="shared" si="3"/>
        <v>0</v>
      </c>
      <c r="E136" s="56"/>
      <c r="F136" s="76" t="e">
        <f t="shared" si="4"/>
        <v>#DIV/0!</v>
      </c>
      <c r="G136" s="76" t="e">
        <f t="shared" si="5"/>
        <v>#DIV/0!</v>
      </c>
      <c r="H136" s="76" t="e">
        <f t="shared" si="6"/>
        <v>#DIV/0!</v>
      </c>
      <c r="I136" s="77" t="e">
        <f t="shared" si="7"/>
        <v>#DIV/0!</v>
      </c>
      <c r="J136" s="53"/>
      <c r="K136" s="53"/>
    </row>
    <row r="137" spans="1:11" x14ac:dyDescent="0.25">
      <c r="A137" s="54">
        <f t="shared" si="0"/>
        <v>0</v>
      </c>
      <c r="B137" s="55" t="b">
        <f t="shared" si="1"/>
        <v>0</v>
      </c>
      <c r="C137" s="55" t="b">
        <f t="shared" si="2"/>
        <v>0</v>
      </c>
      <c r="D137" s="55" t="b">
        <f t="shared" si="3"/>
        <v>0</v>
      </c>
      <c r="E137" s="56"/>
      <c r="F137" s="76" t="e">
        <f t="shared" si="4"/>
        <v>#DIV/0!</v>
      </c>
      <c r="G137" s="76" t="e">
        <f t="shared" si="5"/>
        <v>#DIV/0!</v>
      </c>
      <c r="H137" s="76" t="e">
        <f t="shared" si="6"/>
        <v>#DIV/0!</v>
      </c>
      <c r="I137" s="77" t="e">
        <f t="shared" si="7"/>
        <v>#DIV/0!</v>
      </c>
      <c r="J137" s="53"/>
      <c r="K137" s="53"/>
    </row>
    <row r="138" spans="1:11" x14ac:dyDescent="0.25">
      <c r="A138" s="54">
        <f t="shared" ref="A138:A169" si="8">IF(A36&gt;0,A137+1,0)</f>
        <v>0</v>
      </c>
      <c r="B138" s="55" t="b">
        <f t="shared" si="1"/>
        <v>0</v>
      </c>
      <c r="C138" s="55" t="b">
        <f t="shared" si="2"/>
        <v>0</v>
      </c>
      <c r="D138" s="55" t="b">
        <f t="shared" si="3"/>
        <v>0</v>
      </c>
      <c r="E138" s="56"/>
      <c r="F138" s="76" t="e">
        <f t="shared" si="4"/>
        <v>#DIV/0!</v>
      </c>
      <c r="G138" s="76" t="e">
        <f t="shared" si="5"/>
        <v>#DIV/0!</v>
      </c>
      <c r="H138" s="76" t="e">
        <f t="shared" si="6"/>
        <v>#DIV/0!</v>
      </c>
      <c r="I138" s="77" t="e">
        <f t="shared" si="7"/>
        <v>#DIV/0!</v>
      </c>
      <c r="J138" s="53"/>
      <c r="K138" s="53"/>
    </row>
    <row r="139" spans="1:11" x14ac:dyDescent="0.25">
      <c r="A139" s="54">
        <f t="shared" si="8"/>
        <v>0</v>
      </c>
      <c r="B139" s="55" t="b">
        <f t="shared" si="1"/>
        <v>0</v>
      </c>
      <c r="C139" s="55" t="b">
        <f t="shared" si="2"/>
        <v>0</v>
      </c>
      <c r="D139" s="55" t="b">
        <f t="shared" si="3"/>
        <v>0</v>
      </c>
      <c r="E139" s="56"/>
      <c r="F139" s="76" t="e">
        <f t="shared" si="4"/>
        <v>#DIV/0!</v>
      </c>
      <c r="G139" s="76" t="e">
        <f t="shared" si="5"/>
        <v>#DIV/0!</v>
      </c>
      <c r="H139" s="76" t="e">
        <f t="shared" si="6"/>
        <v>#DIV/0!</v>
      </c>
      <c r="I139" s="77" t="e">
        <f t="shared" si="7"/>
        <v>#DIV/0!</v>
      </c>
      <c r="J139" s="53"/>
      <c r="K139" s="53"/>
    </row>
    <row r="140" spans="1:11" x14ac:dyDescent="0.25">
      <c r="A140" s="54">
        <f t="shared" si="8"/>
        <v>0</v>
      </c>
      <c r="B140" s="55" t="b">
        <f t="shared" si="1"/>
        <v>0</v>
      </c>
      <c r="C140" s="55" t="b">
        <f t="shared" si="2"/>
        <v>0</v>
      </c>
      <c r="D140" s="55" t="b">
        <f t="shared" si="3"/>
        <v>0</v>
      </c>
      <c r="E140" s="56"/>
      <c r="F140" s="76" t="e">
        <f t="shared" si="4"/>
        <v>#DIV/0!</v>
      </c>
      <c r="G140" s="76" t="e">
        <f t="shared" si="5"/>
        <v>#DIV/0!</v>
      </c>
      <c r="H140" s="76" t="e">
        <f t="shared" si="6"/>
        <v>#DIV/0!</v>
      </c>
      <c r="I140" s="77" t="e">
        <f t="shared" si="7"/>
        <v>#DIV/0!</v>
      </c>
      <c r="J140" s="53"/>
      <c r="K140" s="53"/>
    </row>
    <row r="141" spans="1:11" x14ac:dyDescent="0.25">
      <c r="A141" s="54">
        <f t="shared" si="8"/>
        <v>0</v>
      </c>
      <c r="B141" s="55" t="b">
        <f t="shared" si="1"/>
        <v>0</v>
      </c>
      <c r="C141" s="55" t="b">
        <f t="shared" si="2"/>
        <v>0</v>
      </c>
      <c r="D141" s="55" t="b">
        <f t="shared" si="3"/>
        <v>0</v>
      </c>
      <c r="E141" s="56"/>
      <c r="F141" s="76" t="e">
        <f t="shared" si="4"/>
        <v>#DIV/0!</v>
      </c>
      <c r="G141" s="76" t="e">
        <f t="shared" si="5"/>
        <v>#DIV/0!</v>
      </c>
      <c r="H141" s="76" t="e">
        <f t="shared" si="6"/>
        <v>#DIV/0!</v>
      </c>
      <c r="I141" s="77" t="e">
        <f t="shared" si="7"/>
        <v>#DIV/0!</v>
      </c>
      <c r="J141" s="53"/>
      <c r="K141" s="53"/>
    </row>
    <row r="142" spans="1:11" x14ac:dyDescent="0.25">
      <c r="A142" s="54">
        <f t="shared" si="8"/>
        <v>0</v>
      </c>
      <c r="B142" s="55" t="b">
        <f t="shared" si="1"/>
        <v>0</v>
      </c>
      <c r="C142" s="55" t="b">
        <f t="shared" si="2"/>
        <v>0</v>
      </c>
      <c r="D142" s="55" t="b">
        <f t="shared" si="3"/>
        <v>0</v>
      </c>
      <c r="E142" s="56"/>
      <c r="F142" s="76" t="e">
        <f t="shared" si="4"/>
        <v>#DIV/0!</v>
      </c>
      <c r="G142" s="76" t="e">
        <f t="shared" si="5"/>
        <v>#DIV/0!</v>
      </c>
      <c r="H142" s="76" t="e">
        <f t="shared" si="6"/>
        <v>#DIV/0!</v>
      </c>
      <c r="I142" s="77" t="e">
        <f t="shared" si="7"/>
        <v>#DIV/0!</v>
      </c>
      <c r="J142" s="53"/>
      <c r="K142" s="53"/>
    </row>
    <row r="143" spans="1:11" x14ac:dyDescent="0.25">
      <c r="A143" s="54">
        <f t="shared" si="8"/>
        <v>0</v>
      </c>
      <c r="B143" s="55" t="b">
        <f t="shared" si="1"/>
        <v>0</v>
      </c>
      <c r="C143" s="55" t="b">
        <f t="shared" si="2"/>
        <v>0</v>
      </c>
      <c r="D143" s="55" t="b">
        <f t="shared" si="3"/>
        <v>0</v>
      </c>
      <c r="E143" s="56"/>
      <c r="F143" s="76" t="e">
        <f t="shared" si="4"/>
        <v>#DIV/0!</v>
      </c>
      <c r="G143" s="76" t="e">
        <f t="shared" si="5"/>
        <v>#DIV/0!</v>
      </c>
      <c r="H143" s="76" t="e">
        <f t="shared" si="6"/>
        <v>#DIV/0!</v>
      </c>
      <c r="I143" s="77" t="e">
        <f t="shared" si="7"/>
        <v>#DIV/0!</v>
      </c>
      <c r="J143" s="53"/>
      <c r="K143" s="53"/>
    </row>
    <row r="144" spans="1:11" x14ac:dyDescent="0.25">
      <c r="A144" s="54">
        <f t="shared" si="8"/>
        <v>0</v>
      </c>
      <c r="B144" s="55" t="b">
        <f t="shared" si="1"/>
        <v>0</v>
      </c>
      <c r="C144" s="55" t="b">
        <f t="shared" si="2"/>
        <v>0</v>
      </c>
      <c r="D144" s="55" t="b">
        <f t="shared" si="3"/>
        <v>0</v>
      </c>
      <c r="E144" s="56"/>
      <c r="F144" s="76" t="e">
        <f t="shared" si="4"/>
        <v>#DIV/0!</v>
      </c>
      <c r="G144" s="76" t="e">
        <f t="shared" si="5"/>
        <v>#DIV/0!</v>
      </c>
      <c r="H144" s="76" t="e">
        <f t="shared" si="6"/>
        <v>#DIV/0!</v>
      </c>
      <c r="I144" s="77" t="e">
        <f t="shared" si="7"/>
        <v>#DIV/0!</v>
      </c>
      <c r="J144" s="53"/>
      <c r="K144" s="53"/>
    </row>
    <row r="145" spans="1:11" x14ac:dyDescent="0.25">
      <c r="A145" s="54">
        <f t="shared" si="8"/>
        <v>0</v>
      </c>
      <c r="B145" s="55" t="b">
        <f t="shared" si="1"/>
        <v>0</v>
      </c>
      <c r="C145" s="55" t="b">
        <f t="shared" si="2"/>
        <v>0</v>
      </c>
      <c r="D145" s="55" t="b">
        <f t="shared" si="3"/>
        <v>0</v>
      </c>
      <c r="E145" s="56"/>
      <c r="F145" s="76" t="e">
        <f t="shared" si="4"/>
        <v>#DIV/0!</v>
      </c>
      <c r="G145" s="76" t="e">
        <f t="shared" si="5"/>
        <v>#DIV/0!</v>
      </c>
      <c r="H145" s="76" t="e">
        <f t="shared" si="6"/>
        <v>#DIV/0!</v>
      </c>
      <c r="I145" s="77" t="e">
        <f t="shared" si="7"/>
        <v>#DIV/0!</v>
      </c>
      <c r="J145" s="53"/>
      <c r="K145" s="53"/>
    </row>
    <row r="146" spans="1:11" x14ac:dyDescent="0.25">
      <c r="A146" s="54">
        <f t="shared" si="8"/>
        <v>0</v>
      </c>
      <c r="B146" s="55" t="b">
        <f t="shared" si="1"/>
        <v>0</v>
      </c>
      <c r="C146" s="55" t="b">
        <f t="shared" si="2"/>
        <v>0</v>
      </c>
      <c r="D146" s="55" t="b">
        <f t="shared" si="3"/>
        <v>0</v>
      </c>
      <c r="E146" s="56"/>
      <c r="F146" s="76" t="e">
        <f t="shared" si="4"/>
        <v>#DIV/0!</v>
      </c>
      <c r="G146" s="76" t="e">
        <f t="shared" si="5"/>
        <v>#DIV/0!</v>
      </c>
      <c r="H146" s="76" t="e">
        <f t="shared" si="6"/>
        <v>#DIV/0!</v>
      </c>
      <c r="I146" s="77" t="e">
        <f t="shared" si="7"/>
        <v>#DIV/0!</v>
      </c>
      <c r="J146" s="53"/>
      <c r="K146" s="53"/>
    </row>
    <row r="147" spans="1:11" x14ac:dyDescent="0.25">
      <c r="A147" s="54">
        <f t="shared" si="8"/>
        <v>0</v>
      </c>
      <c r="B147" s="55" t="b">
        <f t="shared" si="1"/>
        <v>0</v>
      </c>
      <c r="C147" s="55" t="b">
        <f t="shared" si="2"/>
        <v>0</v>
      </c>
      <c r="D147" s="55" t="b">
        <f t="shared" si="3"/>
        <v>0</v>
      </c>
      <c r="E147" s="56"/>
      <c r="F147" s="76" t="e">
        <f t="shared" si="4"/>
        <v>#DIV/0!</v>
      </c>
      <c r="G147" s="76" t="e">
        <f t="shared" si="5"/>
        <v>#DIV/0!</v>
      </c>
      <c r="H147" s="76" t="e">
        <f t="shared" si="6"/>
        <v>#DIV/0!</v>
      </c>
      <c r="I147" s="77" t="e">
        <f t="shared" si="7"/>
        <v>#DIV/0!</v>
      </c>
      <c r="J147" s="53"/>
      <c r="K147" s="53"/>
    </row>
    <row r="148" spans="1:11" x14ac:dyDescent="0.25">
      <c r="A148" s="54">
        <f t="shared" si="8"/>
        <v>0</v>
      </c>
      <c r="B148" s="55" t="b">
        <f t="shared" si="1"/>
        <v>0</v>
      </c>
      <c r="C148" s="55" t="b">
        <f t="shared" si="2"/>
        <v>0</v>
      </c>
      <c r="D148" s="55" t="b">
        <f t="shared" si="3"/>
        <v>0</v>
      </c>
      <c r="E148" s="56"/>
      <c r="F148" s="76" t="e">
        <f t="shared" si="4"/>
        <v>#DIV/0!</v>
      </c>
      <c r="G148" s="76" t="e">
        <f t="shared" si="5"/>
        <v>#DIV/0!</v>
      </c>
      <c r="H148" s="76" t="e">
        <f t="shared" si="6"/>
        <v>#DIV/0!</v>
      </c>
      <c r="I148" s="77" t="e">
        <f t="shared" si="7"/>
        <v>#DIV/0!</v>
      </c>
      <c r="J148" s="53"/>
      <c r="K148" s="53"/>
    </row>
    <row r="149" spans="1:11" x14ac:dyDescent="0.25">
      <c r="A149" s="54">
        <f t="shared" si="8"/>
        <v>0</v>
      </c>
      <c r="B149" s="55" t="b">
        <f t="shared" si="1"/>
        <v>0</v>
      </c>
      <c r="C149" s="55" t="b">
        <f t="shared" si="2"/>
        <v>0</v>
      </c>
      <c r="D149" s="55" t="b">
        <f t="shared" si="3"/>
        <v>0</v>
      </c>
      <c r="E149" s="56"/>
      <c r="F149" s="76" t="e">
        <f t="shared" si="4"/>
        <v>#DIV/0!</v>
      </c>
      <c r="G149" s="76" t="e">
        <f t="shared" si="5"/>
        <v>#DIV/0!</v>
      </c>
      <c r="H149" s="76" t="e">
        <f t="shared" si="6"/>
        <v>#DIV/0!</v>
      </c>
      <c r="I149" s="77" t="e">
        <f t="shared" si="7"/>
        <v>#DIV/0!</v>
      </c>
      <c r="J149" s="53"/>
      <c r="K149" s="53"/>
    </row>
    <row r="150" spans="1:11" x14ac:dyDescent="0.25">
      <c r="A150" s="54">
        <f t="shared" si="8"/>
        <v>0</v>
      </c>
      <c r="B150" s="55" t="b">
        <f t="shared" si="1"/>
        <v>0</v>
      </c>
      <c r="C150" s="55" t="b">
        <f t="shared" si="2"/>
        <v>0</v>
      </c>
      <c r="D150" s="55" t="b">
        <f t="shared" si="3"/>
        <v>0</v>
      </c>
      <c r="E150" s="56"/>
      <c r="F150" s="76" t="e">
        <f t="shared" si="4"/>
        <v>#DIV/0!</v>
      </c>
      <c r="G150" s="76" t="e">
        <f t="shared" si="5"/>
        <v>#DIV/0!</v>
      </c>
      <c r="H150" s="76" t="e">
        <f t="shared" si="6"/>
        <v>#DIV/0!</v>
      </c>
      <c r="I150" s="77" t="e">
        <f t="shared" si="7"/>
        <v>#DIV/0!</v>
      </c>
      <c r="J150" s="53"/>
      <c r="K150" s="53"/>
    </row>
    <row r="151" spans="1:11" x14ac:dyDescent="0.25">
      <c r="A151" s="54">
        <f t="shared" si="8"/>
        <v>0</v>
      </c>
      <c r="B151" s="55" t="b">
        <f t="shared" si="1"/>
        <v>0</v>
      </c>
      <c r="C151" s="55" t="b">
        <f t="shared" si="2"/>
        <v>0</v>
      </c>
      <c r="D151" s="55" t="b">
        <f t="shared" si="3"/>
        <v>0</v>
      </c>
      <c r="E151" s="56"/>
      <c r="F151" s="76" t="e">
        <f t="shared" si="4"/>
        <v>#DIV/0!</v>
      </c>
      <c r="G151" s="76" t="e">
        <f t="shared" si="5"/>
        <v>#DIV/0!</v>
      </c>
      <c r="H151" s="76" t="e">
        <f t="shared" si="6"/>
        <v>#DIV/0!</v>
      </c>
      <c r="I151" s="77" t="e">
        <f t="shared" si="7"/>
        <v>#DIV/0!</v>
      </c>
      <c r="J151" s="53"/>
      <c r="K151" s="53"/>
    </row>
    <row r="152" spans="1:11" x14ac:dyDescent="0.25">
      <c r="A152" s="54">
        <f t="shared" si="8"/>
        <v>0</v>
      </c>
      <c r="B152" s="55" t="b">
        <f t="shared" si="1"/>
        <v>0</v>
      </c>
      <c r="C152" s="55" t="b">
        <f t="shared" si="2"/>
        <v>0</v>
      </c>
      <c r="D152" s="55" t="b">
        <f t="shared" si="3"/>
        <v>0</v>
      </c>
      <c r="E152" s="56"/>
      <c r="F152" s="76" t="e">
        <f t="shared" si="4"/>
        <v>#DIV/0!</v>
      </c>
      <c r="G152" s="76" t="e">
        <f t="shared" si="5"/>
        <v>#DIV/0!</v>
      </c>
      <c r="H152" s="76" t="e">
        <f t="shared" si="6"/>
        <v>#DIV/0!</v>
      </c>
      <c r="I152" s="77" t="e">
        <f t="shared" si="7"/>
        <v>#DIV/0!</v>
      </c>
      <c r="J152" s="53"/>
      <c r="K152" s="53"/>
    </row>
    <row r="153" spans="1:11" x14ac:dyDescent="0.25">
      <c r="A153" s="54">
        <f t="shared" si="8"/>
        <v>0</v>
      </c>
      <c r="B153" s="55" t="b">
        <f t="shared" si="1"/>
        <v>0</v>
      </c>
      <c r="C153" s="55" t="b">
        <f t="shared" si="2"/>
        <v>0</v>
      </c>
      <c r="D153" s="55" t="b">
        <f t="shared" si="3"/>
        <v>0</v>
      </c>
      <c r="E153" s="56"/>
      <c r="F153" s="76" t="e">
        <f t="shared" si="4"/>
        <v>#DIV/0!</v>
      </c>
      <c r="G153" s="76" t="e">
        <f t="shared" si="5"/>
        <v>#DIV/0!</v>
      </c>
      <c r="H153" s="76" t="e">
        <f t="shared" si="6"/>
        <v>#DIV/0!</v>
      </c>
      <c r="I153" s="77" t="e">
        <f t="shared" si="7"/>
        <v>#DIV/0!</v>
      </c>
      <c r="J153" s="53"/>
      <c r="K153" s="53"/>
    </row>
    <row r="154" spans="1:11" x14ac:dyDescent="0.25">
      <c r="A154" s="54">
        <f t="shared" si="8"/>
        <v>0</v>
      </c>
      <c r="B154" s="55" t="b">
        <f t="shared" si="1"/>
        <v>0</v>
      </c>
      <c r="C154" s="55" t="b">
        <f t="shared" si="2"/>
        <v>0</v>
      </c>
      <c r="D154" s="55" t="b">
        <f t="shared" si="3"/>
        <v>0</v>
      </c>
      <c r="E154" s="56"/>
      <c r="F154" s="76" t="e">
        <f t="shared" si="4"/>
        <v>#DIV/0!</v>
      </c>
      <c r="G154" s="76" t="e">
        <f t="shared" si="5"/>
        <v>#DIV/0!</v>
      </c>
      <c r="H154" s="76" t="e">
        <f t="shared" si="6"/>
        <v>#DIV/0!</v>
      </c>
      <c r="I154" s="77" t="e">
        <f t="shared" si="7"/>
        <v>#DIV/0!</v>
      </c>
      <c r="J154" s="53"/>
      <c r="K154" s="53"/>
    </row>
    <row r="155" spans="1:11" x14ac:dyDescent="0.25">
      <c r="A155" s="54">
        <f t="shared" si="8"/>
        <v>0</v>
      </c>
      <c r="B155" s="55" t="b">
        <f t="shared" si="1"/>
        <v>0</v>
      </c>
      <c r="C155" s="55" t="b">
        <f t="shared" si="2"/>
        <v>0</v>
      </c>
      <c r="D155" s="55" t="b">
        <f t="shared" si="3"/>
        <v>0</v>
      </c>
      <c r="E155" s="56"/>
      <c r="F155" s="76" t="e">
        <f t="shared" si="4"/>
        <v>#DIV/0!</v>
      </c>
      <c r="G155" s="76" t="e">
        <f t="shared" si="5"/>
        <v>#DIV/0!</v>
      </c>
      <c r="H155" s="76" t="e">
        <f t="shared" si="6"/>
        <v>#DIV/0!</v>
      </c>
      <c r="I155" s="77" t="e">
        <f t="shared" si="7"/>
        <v>#DIV/0!</v>
      </c>
      <c r="J155" s="53"/>
      <c r="K155" s="53"/>
    </row>
    <row r="156" spans="1:11" x14ac:dyDescent="0.25">
      <c r="A156" s="54">
        <f t="shared" si="8"/>
        <v>0</v>
      </c>
      <c r="B156" s="55" t="b">
        <f t="shared" si="1"/>
        <v>0</v>
      </c>
      <c r="C156" s="55" t="b">
        <f t="shared" si="2"/>
        <v>0</v>
      </c>
      <c r="D156" s="55" t="b">
        <f t="shared" si="3"/>
        <v>0</v>
      </c>
      <c r="E156" s="56"/>
      <c r="F156" s="76" t="e">
        <f t="shared" si="4"/>
        <v>#DIV/0!</v>
      </c>
      <c r="G156" s="76" t="e">
        <f t="shared" si="5"/>
        <v>#DIV/0!</v>
      </c>
      <c r="H156" s="76" t="e">
        <f t="shared" si="6"/>
        <v>#DIV/0!</v>
      </c>
      <c r="I156" s="77" t="e">
        <f t="shared" si="7"/>
        <v>#DIV/0!</v>
      </c>
      <c r="J156" s="53"/>
      <c r="K156" s="53"/>
    </row>
    <row r="157" spans="1:11" x14ac:dyDescent="0.25">
      <c r="A157" s="54">
        <f t="shared" si="8"/>
        <v>0</v>
      </c>
      <c r="B157" s="55" t="b">
        <f t="shared" si="1"/>
        <v>0</v>
      </c>
      <c r="C157" s="55" t="b">
        <f t="shared" si="2"/>
        <v>0</v>
      </c>
      <c r="D157" s="55" t="b">
        <f t="shared" si="3"/>
        <v>0</v>
      </c>
      <c r="E157" s="56"/>
      <c r="F157" s="76" t="e">
        <f t="shared" si="4"/>
        <v>#DIV/0!</v>
      </c>
      <c r="G157" s="76" t="e">
        <f t="shared" si="5"/>
        <v>#DIV/0!</v>
      </c>
      <c r="H157" s="76" t="e">
        <f t="shared" si="6"/>
        <v>#DIV/0!</v>
      </c>
      <c r="I157" s="77" t="e">
        <f t="shared" si="7"/>
        <v>#DIV/0!</v>
      </c>
      <c r="J157" s="53"/>
      <c r="K157" s="53"/>
    </row>
    <row r="158" spans="1:11" x14ac:dyDescent="0.25">
      <c r="A158" s="54">
        <f t="shared" si="8"/>
        <v>0</v>
      </c>
      <c r="B158" s="55" t="b">
        <f t="shared" si="1"/>
        <v>0</v>
      </c>
      <c r="C158" s="55" t="b">
        <f t="shared" si="2"/>
        <v>0</v>
      </c>
      <c r="D158" s="55" t="b">
        <f t="shared" si="3"/>
        <v>0</v>
      </c>
      <c r="E158" s="56"/>
      <c r="F158" s="76" t="e">
        <f t="shared" si="4"/>
        <v>#DIV/0!</v>
      </c>
      <c r="G158" s="76" t="e">
        <f t="shared" si="5"/>
        <v>#DIV/0!</v>
      </c>
      <c r="H158" s="76" t="e">
        <f t="shared" si="6"/>
        <v>#DIV/0!</v>
      </c>
      <c r="I158" s="77" t="e">
        <f t="shared" si="7"/>
        <v>#DIV/0!</v>
      </c>
      <c r="J158" s="53"/>
      <c r="K158" s="53"/>
    </row>
    <row r="159" spans="1:11" x14ac:dyDescent="0.25">
      <c r="A159" s="54">
        <f t="shared" si="8"/>
        <v>0</v>
      </c>
      <c r="B159" s="55" t="b">
        <f t="shared" si="1"/>
        <v>0</v>
      </c>
      <c r="C159" s="55" t="b">
        <f t="shared" si="2"/>
        <v>0</v>
      </c>
      <c r="D159" s="55" t="b">
        <f t="shared" si="3"/>
        <v>0</v>
      </c>
      <c r="E159" s="56"/>
      <c r="F159" s="76" t="e">
        <f t="shared" si="4"/>
        <v>#DIV/0!</v>
      </c>
      <c r="G159" s="76" t="e">
        <f t="shared" si="5"/>
        <v>#DIV/0!</v>
      </c>
      <c r="H159" s="76" t="e">
        <f t="shared" si="6"/>
        <v>#DIV/0!</v>
      </c>
      <c r="I159" s="77" t="e">
        <f t="shared" si="7"/>
        <v>#DIV/0!</v>
      </c>
      <c r="J159" s="53"/>
      <c r="K159" s="53"/>
    </row>
    <row r="160" spans="1:11" x14ac:dyDescent="0.25">
      <c r="A160" s="54">
        <f t="shared" si="8"/>
        <v>0</v>
      </c>
      <c r="B160" s="55" t="b">
        <f t="shared" si="1"/>
        <v>0</v>
      </c>
      <c r="C160" s="55" t="b">
        <f t="shared" si="2"/>
        <v>0</v>
      </c>
      <c r="D160" s="55" t="b">
        <f t="shared" si="3"/>
        <v>0</v>
      </c>
      <c r="E160" s="56"/>
      <c r="F160" s="76" t="e">
        <f t="shared" si="4"/>
        <v>#DIV/0!</v>
      </c>
      <c r="G160" s="76" t="e">
        <f t="shared" si="5"/>
        <v>#DIV/0!</v>
      </c>
      <c r="H160" s="76" t="e">
        <f t="shared" si="6"/>
        <v>#DIV/0!</v>
      </c>
      <c r="I160" s="77" t="e">
        <f t="shared" si="7"/>
        <v>#DIV/0!</v>
      </c>
      <c r="J160" s="53"/>
      <c r="K160" s="53"/>
    </row>
    <row r="161" spans="1:11" x14ac:dyDescent="0.25">
      <c r="A161" s="54">
        <f t="shared" si="8"/>
        <v>0</v>
      </c>
      <c r="B161" s="55" t="b">
        <f t="shared" si="1"/>
        <v>0</v>
      </c>
      <c r="C161" s="55" t="b">
        <f t="shared" si="2"/>
        <v>0</v>
      </c>
      <c r="D161" s="55" t="b">
        <f t="shared" si="3"/>
        <v>0</v>
      </c>
      <c r="E161" s="56"/>
      <c r="F161" s="76" t="e">
        <f t="shared" si="4"/>
        <v>#DIV/0!</v>
      </c>
      <c r="G161" s="76" t="e">
        <f t="shared" si="5"/>
        <v>#DIV/0!</v>
      </c>
      <c r="H161" s="76" t="e">
        <f t="shared" si="6"/>
        <v>#DIV/0!</v>
      </c>
      <c r="I161" s="77" t="e">
        <f t="shared" si="7"/>
        <v>#DIV/0!</v>
      </c>
      <c r="J161" s="53"/>
      <c r="K161" s="53"/>
    </row>
    <row r="162" spans="1:11" x14ac:dyDescent="0.25">
      <c r="A162" s="54">
        <f t="shared" si="8"/>
        <v>0</v>
      </c>
      <c r="B162" s="55" t="b">
        <f t="shared" si="1"/>
        <v>0</v>
      </c>
      <c r="C162" s="55" t="b">
        <f t="shared" si="2"/>
        <v>0</v>
      </c>
      <c r="D162" s="55" t="b">
        <f t="shared" si="3"/>
        <v>0</v>
      </c>
      <c r="E162" s="56"/>
      <c r="F162" s="76" t="e">
        <f t="shared" si="4"/>
        <v>#DIV/0!</v>
      </c>
      <c r="G162" s="76" t="e">
        <f t="shared" si="5"/>
        <v>#DIV/0!</v>
      </c>
      <c r="H162" s="76" t="e">
        <f t="shared" si="6"/>
        <v>#DIV/0!</v>
      </c>
      <c r="I162" s="77" t="e">
        <f t="shared" si="7"/>
        <v>#DIV/0!</v>
      </c>
      <c r="J162" s="53"/>
      <c r="K162" s="53"/>
    </row>
    <row r="163" spans="1:11" x14ac:dyDescent="0.25">
      <c r="A163" s="54">
        <f t="shared" si="8"/>
        <v>0</v>
      </c>
      <c r="B163" s="55" t="b">
        <f t="shared" si="1"/>
        <v>0</v>
      </c>
      <c r="C163" s="55" t="b">
        <f t="shared" si="2"/>
        <v>0</v>
      </c>
      <c r="D163" s="55" t="b">
        <f t="shared" si="3"/>
        <v>0</v>
      </c>
      <c r="E163" s="56"/>
      <c r="F163" s="76" t="e">
        <f t="shared" si="4"/>
        <v>#DIV/0!</v>
      </c>
      <c r="G163" s="76" t="e">
        <f t="shared" si="5"/>
        <v>#DIV/0!</v>
      </c>
      <c r="H163" s="76" t="e">
        <f t="shared" si="6"/>
        <v>#DIV/0!</v>
      </c>
      <c r="I163" s="77" t="e">
        <f t="shared" si="7"/>
        <v>#DIV/0!</v>
      </c>
      <c r="J163" s="53"/>
      <c r="K163" s="53"/>
    </row>
    <row r="164" spans="1:11" x14ac:dyDescent="0.25">
      <c r="A164" s="54">
        <f t="shared" si="8"/>
        <v>0</v>
      </c>
      <c r="B164" s="55" t="b">
        <f t="shared" si="1"/>
        <v>0</v>
      </c>
      <c r="C164" s="55" t="b">
        <f t="shared" si="2"/>
        <v>0</v>
      </c>
      <c r="D164" s="55" t="b">
        <f t="shared" si="3"/>
        <v>0</v>
      </c>
      <c r="E164" s="56"/>
      <c r="F164" s="76" t="e">
        <f t="shared" si="4"/>
        <v>#DIV/0!</v>
      </c>
      <c r="G164" s="76" t="e">
        <f t="shared" si="5"/>
        <v>#DIV/0!</v>
      </c>
      <c r="H164" s="76" t="e">
        <f t="shared" si="6"/>
        <v>#DIV/0!</v>
      </c>
      <c r="I164" s="77" t="e">
        <f t="shared" si="7"/>
        <v>#DIV/0!</v>
      </c>
      <c r="J164" s="53"/>
      <c r="K164" s="53"/>
    </row>
    <row r="165" spans="1:11" x14ac:dyDescent="0.25">
      <c r="A165" s="54">
        <f t="shared" si="8"/>
        <v>0</v>
      </c>
      <c r="B165" s="55" t="b">
        <f t="shared" si="1"/>
        <v>0</v>
      </c>
      <c r="C165" s="55" t="b">
        <f t="shared" si="2"/>
        <v>0</v>
      </c>
      <c r="D165" s="55" t="b">
        <f t="shared" si="3"/>
        <v>0</v>
      </c>
      <c r="E165" s="56"/>
      <c r="F165" s="76" t="e">
        <f t="shared" si="4"/>
        <v>#DIV/0!</v>
      </c>
      <c r="G165" s="76" t="e">
        <f t="shared" si="5"/>
        <v>#DIV/0!</v>
      </c>
      <c r="H165" s="76" t="e">
        <f t="shared" si="6"/>
        <v>#DIV/0!</v>
      </c>
      <c r="I165" s="77" t="e">
        <f t="shared" si="7"/>
        <v>#DIV/0!</v>
      </c>
      <c r="J165" s="53"/>
      <c r="K165" s="53"/>
    </row>
    <row r="166" spans="1:11" x14ac:dyDescent="0.25">
      <c r="A166" s="54">
        <f t="shared" si="8"/>
        <v>0</v>
      </c>
      <c r="B166" s="55" t="b">
        <f t="shared" si="1"/>
        <v>0</v>
      </c>
      <c r="C166" s="55" t="b">
        <f t="shared" si="2"/>
        <v>0</v>
      </c>
      <c r="D166" s="55" t="b">
        <f t="shared" si="3"/>
        <v>0</v>
      </c>
      <c r="E166" s="56"/>
      <c r="F166" s="76" t="e">
        <f t="shared" si="4"/>
        <v>#DIV/0!</v>
      </c>
      <c r="G166" s="76" t="e">
        <f t="shared" si="5"/>
        <v>#DIV/0!</v>
      </c>
      <c r="H166" s="76" t="e">
        <f t="shared" si="6"/>
        <v>#DIV/0!</v>
      </c>
      <c r="I166" s="77" t="e">
        <f t="shared" si="7"/>
        <v>#DIV/0!</v>
      </c>
      <c r="J166" s="53"/>
      <c r="K166" s="53"/>
    </row>
    <row r="167" spans="1:11" x14ac:dyDescent="0.25">
      <c r="A167" s="54">
        <f t="shared" si="8"/>
        <v>0</v>
      </c>
      <c r="B167" s="55" t="b">
        <f t="shared" si="1"/>
        <v>0</v>
      </c>
      <c r="C167" s="55" t="b">
        <f t="shared" si="2"/>
        <v>0</v>
      </c>
      <c r="D167" s="55" t="b">
        <f t="shared" si="3"/>
        <v>0</v>
      </c>
      <c r="E167" s="56"/>
      <c r="F167" s="76" t="e">
        <f t="shared" si="4"/>
        <v>#DIV/0!</v>
      </c>
      <c r="G167" s="76" t="e">
        <f t="shared" si="5"/>
        <v>#DIV/0!</v>
      </c>
      <c r="H167" s="76" t="e">
        <f t="shared" si="6"/>
        <v>#DIV/0!</v>
      </c>
      <c r="I167" s="77" t="e">
        <f t="shared" si="7"/>
        <v>#DIV/0!</v>
      </c>
      <c r="J167" s="53"/>
      <c r="K167" s="53"/>
    </row>
    <row r="168" spans="1:11" x14ac:dyDescent="0.25">
      <c r="A168" s="54">
        <f t="shared" si="8"/>
        <v>0</v>
      </c>
      <c r="B168" s="55" t="b">
        <f t="shared" si="1"/>
        <v>0</v>
      </c>
      <c r="C168" s="55" t="b">
        <f t="shared" si="2"/>
        <v>0</v>
      </c>
      <c r="D168" s="55" t="b">
        <f t="shared" si="3"/>
        <v>0</v>
      </c>
      <c r="E168" s="56"/>
      <c r="F168" s="76" t="e">
        <f t="shared" si="4"/>
        <v>#DIV/0!</v>
      </c>
      <c r="G168" s="76" t="e">
        <f t="shared" si="5"/>
        <v>#DIV/0!</v>
      </c>
      <c r="H168" s="76" t="e">
        <f t="shared" si="6"/>
        <v>#DIV/0!</v>
      </c>
      <c r="I168" s="77" t="e">
        <f t="shared" si="7"/>
        <v>#DIV/0!</v>
      </c>
      <c r="J168" s="53"/>
      <c r="K168" s="53"/>
    </row>
    <row r="169" spans="1:11" x14ac:dyDescent="0.25">
      <c r="A169" s="54">
        <f t="shared" si="8"/>
        <v>0</v>
      </c>
      <c r="B169" s="55" t="b">
        <f t="shared" si="1"/>
        <v>0</v>
      </c>
      <c r="C169" s="55" t="b">
        <f t="shared" si="2"/>
        <v>0</v>
      </c>
      <c r="D169" s="55" t="b">
        <f t="shared" si="3"/>
        <v>0</v>
      </c>
      <c r="E169" s="56"/>
      <c r="F169" s="76" t="e">
        <f t="shared" si="4"/>
        <v>#DIV/0!</v>
      </c>
      <c r="G169" s="76" t="e">
        <f t="shared" si="5"/>
        <v>#DIV/0!</v>
      </c>
      <c r="H169" s="76" t="e">
        <f t="shared" si="6"/>
        <v>#DIV/0!</v>
      </c>
      <c r="I169" s="77" t="e">
        <f t="shared" si="7"/>
        <v>#DIV/0!</v>
      </c>
      <c r="J169" s="53"/>
      <c r="K169" s="53"/>
    </row>
    <row r="170" spans="1:11" x14ac:dyDescent="0.25">
      <c r="A170" s="54">
        <f t="shared" ref="A170:A201" si="9">IF(A68&gt;0,A169+1,0)</f>
        <v>0</v>
      </c>
      <c r="B170" s="55" t="b">
        <f t="shared" ref="B170:B204" si="10">IF(SQRT((K68-M68)^2+(L68-N68)^2)&gt;0,SQRT((I68-K68)^2+(J68-L68)^2)/SQRT((K68-M68)^2+(L68-N68)^2),FALSE)</f>
        <v>0</v>
      </c>
      <c r="C170" s="55" t="b">
        <f t="shared" ref="C170:C204" si="11">IF(A68&gt;0,IF($Q$1="TPSDig",-ATAN((H170-I170)/(1+I170*H170)),ATAN((H170-I170)/(1+I170*H170)))*180/PI(),FALSE)</f>
        <v>0</v>
      </c>
      <c r="D170" s="55" t="b">
        <f t="shared" ref="D170:D204" si="12">IF(SQRT((E68-G68)^2+(F68-H68)^2)&gt;0,SQRT((I68-M68)^2+(J68-N68)^2)/SQRT((E68-G68)^2+(F68-H68)^2),FALSE)</f>
        <v>0</v>
      </c>
      <c r="E170" s="56"/>
      <c r="F170" s="76" t="e">
        <f t="shared" ref="F170:F204" si="13">(POWER(D68,2)*A68-B68*D68*A68-D68*A68*F68-D68*B68*C68+D68*C68*F68-B68*C68*F68+POWER(B68,2)*C68+E68*POWER(C68,2)+POWER(A68,2)*E68-2*C68*E68*A68+A68*F68*B68)/(POWER(C68,2)-2*A68*C68+POWER(A68,2)+POWER(D68,2)-2*D68*B68+POWER(B68,2))</f>
        <v>#DIV/0!</v>
      </c>
      <c r="G170" s="76" t="e">
        <f t="shared" ref="G170:G204" si="14">(-C68*D68*A68+B68*POWER(C68,2)+D68*POWER(A68,2)-A68*B68*C68+POWER(D68,2)*F68-2*D68*F68*B68+POWER(B68,2)*F68+E68*C68*D68-E68*B68*C68-E68*D68*A68+A68*E68*B68)/(POWER(C68,2)-2*A68*C68+POWER(A68,2)+POWER(D68,2)-2*D68*B68+POWER(B68,2))</f>
        <v>#DIV/0!</v>
      </c>
      <c r="H170" s="76" t="e">
        <f t="shared" ref="H170:H204" si="15">(G170-F68)/(F170-E68)</f>
        <v>#DIV/0!</v>
      </c>
      <c r="I170" s="77" t="e">
        <f t="shared" ref="I170:I204" si="16">(G170-P68)/(F170-O68)</f>
        <v>#DIV/0!</v>
      </c>
      <c r="J170" s="53"/>
      <c r="K170" s="53"/>
    </row>
    <row r="171" spans="1:11" x14ac:dyDescent="0.25">
      <c r="A171" s="54">
        <f t="shared" si="9"/>
        <v>0</v>
      </c>
      <c r="B171" s="55" t="b">
        <f t="shared" si="10"/>
        <v>0</v>
      </c>
      <c r="C171" s="55" t="b">
        <f t="shared" si="11"/>
        <v>0</v>
      </c>
      <c r="D171" s="55" t="b">
        <f t="shared" si="12"/>
        <v>0</v>
      </c>
      <c r="E171" s="56"/>
      <c r="F171" s="76" t="e">
        <f t="shared" si="13"/>
        <v>#DIV/0!</v>
      </c>
      <c r="G171" s="76" t="e">
        <f t="shared" si="14"/>
        <v>#DIV/0!</v>
      </c>
      <c r="H171" s="76" t="e">
        <f t="shared" si="15"/>
        <v>#DIV/0!</v>
      </c>
      <c r="I171" s="77" t="e">
        <f t="shared" si="16"/>
        <v>#DIV/0!</v>
      </c>
      <c r="J171" s="53"/>
      <c r="K171" s="53"/>
    </row>
    <row r="172" spans="1:11" x14ac:dyDescent="0.25">
      <c r="A172" s="54">
        <f t="shared" si="9"/>
        <v>0</v>
      </c>
      <c r="B172" s="55" t="b">
        <f t="shared" si="10"/>
        <v>0</v>
      </c>
      <c r="C172" s="55" t="b">
        <f t="shared" si="11"/>
        <v>0</v>
      </c>
      <c r="D172" s="55" t="b">
        <f t="shared" si="12"/>
        <v>0</v>
      </c>
      <c r="E172" s="56"/>
      <c r="F172" s="76" t="e">
        <f t="shared" si="13"/>
        <v>#DIV/0!</v>
      </c>
      <c r="G172" s="76" t="e">
        <f t="shared" si="14"/>
        <v>#DIV/0!</v>
      </c>
      <c r="H172" s="76" t="e">
        <f t="shared" si="15"/>
        <v>#DIV/0!</v>
      </c>
      <c r="I172" s="77" t="e">
        <f t="shared" si="16"/>
        <v>#DIV/0!</v>
      </c>
      <c r="J172" s="53"/>
      <c r="K172" s="53"/>
    </row>
    <row r="173" spans="1:11" x14ac:dyDescent="0.25">
      <c r="A173" s="54">
        <f t="shared" si="9"/>
        <v>0</v>
      </c>
      <c r="B173" s="55" t="b">
        <f t="shared" si="10"/>
        <v>0</v>
      </c>
      <c r="C173" s="55" t="b">
        <f t="shared" si="11"/>
        <v>0</v>
      </c>
      <c r="D173" s="55" t="b">
        <f t="shared" si="12"/>
        <v>0</v>
      </c>
      <c r="E173" s="56"/>
      <c r="F173" s="76" t="e">
        <f t="shared" si="13"/>
        <v>#DIV/0!</v>
      </c>
      <c r="G173" s="76" t="e">
        <f t="shared" si="14"/>
        <v>#DIV/0!</v>
      </c>
      <c r="H173" s="76" t="e">
        <f t="shared" si="15"/>
        <v>#DIV/0!</v>
      </c>
      <c r="I173" s="77" t="e">
        <f t="shared" si="16"/>
        <v>#DIV/0!</v>
      </c>
      <c r="J173" s="53"/>
      <c r="K173" s="53"/>
    </row>
    <row r="174" spans="1:11" x14ac:dyDescent="0.25">
      <c r="A174" s="54">
        <f t="shared" si="9"/>
        <v>0</v>
      </c>
      <c r="B174" s="55" t="b">
        <f t="shared" si="10"/>
        <v>0</v>
      </c>
      <c r="C174" s="55" t="b">
        <f t="shared" si="11"/>
        <v>0</v>
      </c>
      <c r="D174" s="55" t="b">
        <f t="shared" si="12"/>
        <v>0</v>
      </c>
      <c r="E174" s="56"/>
      <c r="F174" s="76" t="e">
        <f t="shared" si="13"/>
        <v>#DIV/0!</v>
      </c>
      <c r="G174" s="76" t="e">
        <f t="shared" si="14"/>
        <v>#DIV/0!</v>
      </c>
      <c r="H174" s="76" t="e">
        <f t="shared" si="15"/>
        <v>#DIV/0!</v>
      </c>
      <c r="I174" s="77" t="e">
        <f t="shared" si="16"/>
        <v>#DIV/0!</v>
      </c>
      <c r="J174" s="53"/>
      <c r="K174" s="53"/>
    </row>
    <row r="175" spans="1:11" x14ac:dyDescent="0.25">
      <c r="A175" s="54">
        <f t="shared" si="9"/>
        <v>0</v>
      </c>
      <c r="B175" s="55" t="b">
        <f t="shared" si="10"/>
        <v>0</v>
      </c>
      <c r="C175" s="55" t="b">
        <f t="shared" si="11"/>
        <v>0</v>
      </c>
      <c r="D175" s="55" t="b">
        <f t="shared" si="12"/>
        <v>0</v>
      </c>
      <c r="E175" s="56"/>
      <c r="F175" s="76" t="e">
        <f t="shared" si="13"/>
        <v>#DIV/0!</v>
      </c>
      <c r="G175" s="76" t="e">
        <f t="shared" si="14"/>
        <v>#DIV/0!</v>
      </c>
      <c r="H175" s="76" t="e">
        <f t="shared" si="15"/>
        <v>#DIV/0!</v>
      </c>
      <c r="I175" s="77" t="e">
        <f t="shared" si="16"/>
        <v>#DIV/0!</v>
      </c>
      <c r="J175" s="53"/>
      <c r="K175" s="53"/>
    </row>
    <row r="176" spans="1:11" x14ac:dyDescent="0.25">
      <c r="A176" s="54">
        <f t="shared" si="9"/>
        <v>0</v>
      </c>
      <c r="B176" s="55" t="b">
        <f t="shared" si="10"/>
        <v>0</v>
      </c>
      <c r="C176" s="55" t="b">
        <f t="shared" si="11"/>
        <v>0</v>
      </c>
      <c r="D176" s="55" t="b">
        <f t="shared" si="12"/>
        <v>0</v>
      </c>
      <c r="E176" s="56"/>
      <c r="F176" s="76" t="e">
        <f t="shared" si="13"/>
        <v>#DIV/0!</v>
      </c>
      <c r="G176" s="76" t="e">
        <f t="shared" si="14"/>
        <v>#DIV/0!</v>
      </c>
      <c r="H176" s="76" t="e">
        <f t="shared" si="15"/>
        <v>#DIV/0!</v>
      </c>
      <c r="I176" s="77" t="e">
        <f t="shared" si="16"/>
        <v>#DIV/0!</v>
      </c>
      <c r="J176" s="53"/>
      <c r="K176" s="53"/>
    </row>
    <row r="177" spans="1:11" x14ac:dyDescent="0.25">
      <c r="A177" s="54">
        <f t="shared" si="9"/>
        <v>0</v>
      </c>
      <c r="B177" s="55" t="b">
        <f t="shared" si="10"/>
        <v>0</v>
      </c>
      <c r="C177" s="55" t="b">
        <f t="shared" si="11"/>
        <v>0</v>
      </c>
      <c r="D177" s="55" t="b">
        <f t="shared" si="12"/>
        <v>0</v>
      </c>
      <c r="E177" s="56"/>
      <c r="F177" s="76" t="e">
        <f t="shared" si="13"/>
        <v>#DIV/0!</v>
      </c>
      <c r="G177" s="76" t="e">
        <f t="shared" si="14"/>
        <v>#DIV/0!</v>
      </c>
      <c r="H177" s="76" t="e">
        <f t="shared" si="15"/>
        <v>#DIV/0!</v>
      </c>
      <c r="I177" s="77" t="e">
        <f t="shared" si="16"/>
        <v>#DIV/0!</v>
      </c>
      <c r="J177" s="53"/>
      <c r="K177" s="53"/>
    </row>
    <row r="178" spans="1:11" x14ac:dyDescent="0.25">
      <c r="A178" s="54">
        <f t="shared" si="9"/>
        <v>0</v>
      </c>
      <c r="B178" s="55" t="b">
        <f t="shared" si="10"/>
        <v>0</v>
      </c>
      <c r="C178" s="55" t="b">
        <f t="shared" si="11"/>
        <v>0</v>
      </c>
      <c r="D178" s="55" t="b">
        <f t="shared" si="12"/>
        <v>0</v>
      </c>
      <c r="E178" s="56"/>
      <c r="F178" s="76" t="e">
        <f t="shared" si="13"/>
        <v>#DIV/0!</v>
      </c>
      <c r="G178" s="76" t="e">
        <f t="shared" si="14"/>
        <v>#DIV/0!</v>
      </c>
      <c r="H178" s="76" t="e">
        <f t="shared" si="15"/>
        <v>#DIV/0!</v>
      </c>
      <c r="I178" s="77" t="e">
        <f t="shared" si="16"/>
        <v>#DIV/0!</v>
      </c>
      <c r="J178" s="53"/>
      <c r="K178" s="53"/>
    </row>
    <row r="179" spans="1:11" x14ac:dyDescent="0.25">
      <c r="A179" s="54">
        <f t="shared" si="9"/>
        <v>0</v>
      </c>
      <c r="B179" s="55" t="b">
        <f t="shared" si="10"/>
        <v>0</v>
      </c>
      <c r="C179" s="55" t="b">
        <f t="shared" si="11"/>
        <v>0</v>
      </c>
      <c r="D179" s="55" t="b">
        <f t="shared" si="12"/>
        <v>0</v>
      </c>
      <c r="E179" s="56"/>
      <c r="F179" s="76" t="e">
        <f t="shared" si="13"/>
        <v>#DIV/0!</v>
      </c>
      <c r="G179" s="76" t="e">
        <f t="shared" si="14"/>
        <v>#DIV/0!</v>
      </c>
      <c r="H179" s="76" t="e">
        <f t="shared" si="15"/>
        <v>#DIV/0!</v>
      </c>
      <c r="I179" s="77" t="e">
        <f t="shared" si="16"/>
        <v>#DIV/0!</v>
      </c>
      <c r="J179" s="53"/>
      <c r="K179" s="53"/>
    </row>
    <row r="180" spans="1:11" x14ac:dyDescent="0.25">
      <c r="A180" s="54">
        <f t="shared" si="9"/>
        <v>0</v>
      </c>
      <c r="B180" s="55" t="b">
        <f t="shared" si="10"/>
        <v>0</v>
      </c>
      <c r="C180" s="55" t="b">
        <f t="shared" si="11"/>
        <v>0</v>
      </c>
      <c r="D180" s="55" t="b">
        <f t="shared" si="12"/>
        <v>0</v>
      </c>
      <c r="E180" s="56"/>
      <c r="F180" s="76" t="e">
        <f t="shared" si="13"/>
        <v>#DIV/0!</v>
      </c>
      <c r="G180" s="76" t="e">
        <f t="shared" si="14"/>
        <v>#DIV/0!</v>
      </c>
      <c r="H180" s="76" t="e">
        <f t="shared" si="15"/>
        <v>#DIV/0!</v>
      </c>
      <c r="I180" s="77" t="e">
        <f t="shared" si="16"/>
        <v>#DIV/0!</v>
      </c>
      <c r="J180" s="53"/>
      <c r="K180" s="53"/>
    </row>
    <row r="181" spans="1:11" x14ac:dyDescent="0.25">
      <c r="A181" s="54">
        <f t="shared" si="9"/>
        <v>0</v>
      </c>
      <c r="B181" s="55" t="b">
        <f t="shared" si="10"/>
        <v>0</v>
      </c>
      <c r="C181" s="55" t="b">
        <f t="shared" si="11"/>
        <v>0</v>
      </c>
      <c r="D181" s="55" t="b">
        <f t="shared" si="12"/>
        <v>0</v>
      </c>
      <c r="E181" s="56"/>
      <c r="F181" s="76" t="e">
        <f t="shared" si="13"/>
        <v>#DIV/0!</v>
      </c>
      <c r="G181" s="76" t="e">
        <f t="shared" si="14"/>
        <v>#DIV/0!</v>
      </c>
      <c r="H181" s="76" t="e">
        <f t="shared" si="15"/>
        <v>#DIV/0!</v>
      </c>
      <c r="I181" s="77" t="e">
        <f t="shared" si="16"/>
        <v>#DIV/0!</v>
      </c>
      <c r="J181" s="53"/>
      <c r="K181" s="53"/>
    </row>
    <row r="182" spans="1:11" x14ac:dyDescent="0.25">
      <c r="A182" s="54">
        <f t="shared" si="9"/>
        <v>0</v>
      </c>
      <c r="B182" s="55" t="b">
        <f t="shared" si="10"/>
        <v>0</v>
      </c>
      <c r="C182" s="55" t="b">
        <f t="shared" si="11"/>
        <v>0</v>
      </c>
      <c r="D182" s="55" t="b">
        <f t="shared" si="12"/>
        <v>0</v>
      </c>
      <c r="E182" s="56"/>
      <c r="F182" s="76" t="e">
        <f t="shared" si="13"/>
        <v>#DIV/0!</v>
      </c>
      <c r="G182" s="76" t="e">
        <f t="shared" si="14"/>
        <v>#DIV/0!</v>
      </c>
      <c r="H182" s="76" t="e">
        <f t="shared" si="15"/>
        <v>#DIV/0!</v>
      </c>
      <c r="I182" s="77" t="e">
        <f t="shared" si="16"/>
        <v>#DIV/0!</v>
      </c>
      <c r="J182" s="53"/>
      <c r="K182" s="53"/>
    </row>
    <row r="183" spans="1:11" x14ac:dyDescent="0.25">
      <c r="A183" s="54">
        <f t="shared" si="9"/>
        <v>0</v>
      </c>
      <c r="B183" s="55" t="b">
        <f t="shared" si="10"/>
        <v>0</v>
      </c>
      <c r="C183" s="55" t="b">
        <f t="shared" si="11"/>
        <v>0</v>
      </c>
      <c r="D183" s="55" t="b">
        <f t="shared" si="12"/>
        <v>0</v>
      </c>
      <c r="E183" s="56"/>
      <c r="F183" s="76" t="e">
        <f t="shared" si="13"/>
        <v>#DIV/0!</v>
      </c>
      <c r="G183" s="76" t="e">
        <f t="shared" si="14"/>
        <v>#DIV/0!</v>
      </c>
      <c r="H183" s="76" t="e">
        <f t="shared" si="15"/>
        <v>#DIV/0!</v>
      </c>
      <c r="I183" s="77" t="e">
        <f t="shared" si="16"/>
        <v>#DIV/0!</v>
      </c>
      <c r="J183" s="53"/>
      <c r="K183" s="53"/>
    </row>
    <row r="184" spans="1:11" x14ac:dyDescent="0.25">
      <c r="A184" s="54">
        <f t="shared" si="9"/>
        <v>0</v>
      </c>
      <c r="B184" s="55" t="b">
        <f t="shared" si="10"/>
        <v>0</v>
      </c>
      <c r="C184" s="55" t="b">
        <f t="shared" si="11"/>
        <v>0</v>
      </c>
      <c r="D184" s="55" t="b">
        <f t="shared" si="12"/>
        <v>0</v>
      </c>
      <c r="E184" s="56"/>
      <c r="F184" s="76" t="e">
        <f t="shared" si="13"/>
        <v>#DIV/0!</v>
      </c>
      <c r="G184" s="76" t="e">
        <f t="shared" si="14"/>
        <v>#DIV/0!</v>
      </c>
      <c r="H184" s="76" t="e">
        <f t="shared" si="15"/>
        <v>#DIV/0!</v>
      </c>
      <c r="I184" s="77" t="e">
        <f t="shared" si="16"/>
        <v>#DIV/0!</v>
      </c>
      <c r="J184" s="53"/>
      <c r="K184" s="53"/>
    </row>
    <row r="185" spans="1:11" x14ac:dyDescent="0.25">
      <c r="A185" s="54">
        <f t="shared" si="9"/>
        <v>0</v>
      </c>
      <c r="B185" s="55" t="b">
        <f t="shared" si="10"/>
        <v>0</v>
      </c>
      <c r="C185" s="55" t="b">
        <f t="shared" si="11"/>
        <v>0</v>
      </c>
      <c r="D185" s="55" t="b">
        <f t="shared" si="12"/>
        <v>0</v>
      </c>
      <c r="E185" s="56"/>
      <c r="F185" s="76" t="e">
        <f t="shared" si="13"/>
        <v>#DIV/0!</v>
      </c>
      <c r="G185" s="76" t="e">
        <f t="shared" si="14"/>
        <v>#DIV/0!</v>
      </c>
      <c r="H185" s="76" t="e">
        <f t="shared" si="15"/>
        <v>#DIV/0!</v>
      </c>
      <c r="I185" s="77" t="e">
        <f t="shared" si="16"/>
        <v>#DIV/0!</v>
      </c>
      <c r="J185" s="53"/>
      <c r="K185" s="53"/>
    </row>
    <row r="186" spans="1:11" x14ac:dyDescent="0.25">
      <c r="A186" s="54">
        <f t="shared" si="9"/>
        <v>0</v>
      </c>
      <c r="B186" s="55" t="b">
        <f t="shared" si="10"/>
        <v>0</v>
      </c>
      <c r="C186" s="55" t="b">
        <f t="shared" si="11"/>
        <v>0</v>
      </c>
      <c r="D186" s="55" t="b">
        <f t="shared" si="12"/>
        <v>0</v>
      </c>
      <c r="E186" s="56"/>
      <c r="F186" s="76" t="e">
        <f t="shared" si="13"/>
        <v>#DIV/0!</v>
      </c>
      <c r="G186" s="76" t="e">
        <f t="shared" si="14"/>
        <v>#DIV/0!</v>
      </c>
      <c r="H186" s="76" t="e">
        <f t="shared" si="15"/>
        <v>#DIV/0!</v>
      </c>
      <c r="I186" s="77" t="e">
        <f t="shared" si="16"/>
        <v>#DIV/0!</v>
      </c>
      <c r="J186" s="53"/>
      <c r="K186" s="53"/>
    </row>
    <row r="187" spans="1:11" x14ac:dyDescent="0.25">
      <c r="A187" s="54">
        <f t="shared" si="9"/>
        <v>0</v>
      </c>
      <c r="B187" s="55" t="b">
        <f t="shared" si="10"/>
        <v>0</v>
      </c>
      <c r="C187" s="55" t="b">
        <f t="shared" si="11"/>
        <v>0</v>
      </c>
      <c r="D187" s="55" t="b">
        <f t="shared" si="12"/>
        <v>0</v>
      </c>
      <c r="E187" s="56"/>
      <c r="F187" s="76" t="e">
        <f t="shared" si="13"/>
        <v>#DIV/0!</v>
      </c>
      <c r="G187" s="76" t="e">
        <f t="shared" si="14"/>
        <v>#DIV/0!</v>
      </c>
      <c r="H187" s="76" t="e">
        <f t="shared" si="15"/>
        <v>#DIV/0!</v>
      </c>
      <c r="I187" s="77" t="e">
        <f t="shared" si="16"/>
        <v>#DIV/0!</v>
      </c>
      <c r="J187" s="53"/>
      <c r="K187" s="53"/>
    </row>
    <row r="188" spans="1:11" x14ac:dyDescent="0.25">
      <c r="A188" s="54">
        <f t="shared" si="9"/>
        <v>0</v>
      </c>
      <c r="B188" s="55" t="b">
        <f t="shared" si="10"/>
        <v>0</v>
      </c>
      <c r="C188" s="55" t="b">
        <f t="shared" si="11"/>
        <v>0</v>
      </c>
      <c r="D188" s="55" t="b">
        <f t="shared" si="12"/>
        <v>0</v>
      </c>
      <c r="E188" s="56"/>
      <c r="F188" s="76" t="e">
        <f t="shared" si="13"/>
        <v>#DIV/0!</v>
      </c>
      <c r="G188" s="76" t="e">
        <f t="shared" si="14"/>
        <v>#DIV/0!</v>
      </c>
      <c r="H188" s="76" t="e">
        <f t="shared" si="15"/>
        <v>#DIV/0!</v>
      </c>
      <c r="I188" s="77" t="e">
        <f t="shared" si="16"/>
        <v>#DIV/0!</v>
      </c>
      <c r="J188" s="53"/>
      <c r="K188" s="53"/>
    </row>
    <row r="189" spans="1:11" x14ac:dyDescent="0.25">
      <c r="A189" s="54">
        <f t="shared" si="9"/>
        <v>0</v>
      </c>
      <c r="B189" s="55" t="b">
        <f t="shared" si="10"/>
        <v>0</v>
      </c>
      <c r="C189" s="55" t="b">
        <f t="shared" si="11"/>
        <v>0</v>
      </c>
      <c r="D189" s="55" t="b">
        <f t="shared" si="12"/>
        <v>0</v>
      </c>
      <c r="E189" s="56"/>
      <c r="F189" s="76" t="e">
        <f t="shared" si="13"/>
        <v>#DIV/0!</v>
      </c>
      <c r="G189" s="76" t="e">
        <f t="shared" si="14"/>
        <v>#DIV/0!</v>
      </c>
      <c r="H189" s="76" t="e">
        <f t="shared" si="15"/>
        <v>#DIV/0!</v>
      </c>
      <c r="I189" s="77" t="e">
        <f t="shared" si="16"/>
        <v>#DIV/0!</v>
      </c>
      <c r="J189" s="53"/>
      <c r="K189" s="53"/>
    </row>
    <row r="190" spans="1:11" x14ac:dyDescent="0.25">
      <c r="A190" s="54">
        <f t="shared" si="9"/>
        <v>0</v>
      </c>
      <c r="B190" s="55" t="b">
        <f t="shared" si="10"/>
        <v>0</v>
      </c>
      <c r="C190" s="55" t="b">
        <f t="shared" si="11"/>
        <v>0</v>
      </c>
      <c r="D190" s="55" t="b">
        <f t="shared" si="12"/>
        <v>0</v>
      </c>
      <c r="E190" s="56"/>
      <c r="F190" s="76" t="e">
        <f t="shared" si="13"/>
        <v>#DIV/0!</v>
      </c>
      <c r="G190" s="76" t="e">
        <f t="shared" si="14"/>
        <v>#DIV/0!</v>
      </c>
      <c r="H190" s="76" t="e">
        <f t="shared" si="15"/>
        <v>#DIV/0!</v>
      </c>
      <c r="I190" s="77" t="e">
        <f t="shared" si="16"/>
        <v>#DIV/0!</v>
      </c>
      <c r="J190" s="53"/>
      <c r="K190" s="53"/>
    </row>
    <row r="191" spans="1:11" x14ac:dyDescent="0.25">
      <c r="A191" s="54">
        <f t="shared" si="9"/>
        <v>0</v>
      </c>
      <c r="B191" s="55" t="b">
        <f t="shared" si="10"/>
        <v>0</v>
      </c>
      <c r="C191" s="55" t="b">
        <f t="shared" si="11"/>
        <v>0</v>
      </c>
      <c r="D191" s="55" t="b">
        <f t="shared" si="12"/>
        <v>0</v>
      </c>
      <c r="E191" s="56"/>
      <c r="F191" s="76" t="e">
        <f t="shared" si="13"/>
        <v>#DIV/0!</v>
      </c>
      <c r="G191" s="76" t="e">
        <f t="shared" si="14"/>
        <v>#DIV/0!</v>
      </c>
      <c r="H191" s="76" t="e">
        <f t="shared" si="15"/>
        <v>#DIV/0!</v>
      </c>
      <c r="I191" s="77" t="e">
        <f t="shared" si="16"/>
        <v>#DIV/0!</v>
      </c>
      <c r="J191" s="53"/>
      <c r="K191" s="53"/>
    </row>
    <row r="192" spans="1:11" x14ac:dyDescent="0.25">
      <c r="A192" s="54">
        <f t="shared" si="9"/>
        <v>0</v>
      </c>
      <c r="B192" s="55" t="b">
        <f t="shared" si="10"/>
        <v>0</v>
      </c>
      <c r="C192" s="55" t="b">
        <f t="shared" si="11"/>
        <v>0</v>
      </c>
      <c r="D192" s="55" t="b">
        <f t="shared" si="12"/>
        <v>0</v>
      </c>
      <c r="E192" s="56"/>
      <c r="F192" s="76" t="e">
        <f t="shared" si="13"/>
        <v>#DIV/0!</v>
      </c>
      <c r="G192" s="76" t="e">
        <f t="shared" si="14"/>
        <v>#DIV/0!</v>
      </c>
      <c r="H192" s="76" t="e">
        <f t="shared" si="15"/>
        <v>#DIV/0!</v>
      </c>
      <c r="I192" s="77" t="e">
        <f t="shared" si="16"/>
        <v>#DIV/0!</v>
      </c>
      <c r="J192" s="53"/>
      <c r="K192" s="53"/>
    </row>
    <row r="193" spans="1:11" x14ac:dyDescent="0.25">
      <c r="A193" s="54">
        <f t="shared" si="9"/>
        <v>0</v>
      </c>
      <c r="B193" s="55" t="b">
        <f t="shared" si="10"/>
        <v>0</v>
      </c>
      <c r="C193" s="55" t="b">
        <f t="shared" si="11"/>
        <v>0</v>
      </c>
      <c r="D193" s="55" t="b">
        <f t="shared" si="12"/>
        <v>0</v>
      </c>
      <c r="E193" s="56"/>
      <c r="F193" s="76" t="e">
        <f t="shared" si="13"/>
        <v>#DIV/0!</v>
      </c>
      <c r="G193" s="76" t="e">
        <f t="shared" si="14"/>
        <v>#DIV/0!</v>
      </c>
      <c r="H193" s="76" t="e">
        <f t="shared" si="15"/>
        <v>#DIV/0!</v>
      </c>
      <c r="I193" s="77" t="e">
        <f t="shared" si="16"/>
        <v>#DIV/0!</v>
      </c>
      <c r="J193" s="53"/>
      <c r="K193" s="53"/>
    </row>
    <row r="194" spans="1:11" x14ac:dyDescent="0.25">
      <c r="A194" s="54">
        <f t="shared" si="9"/>
        <v>0</v>
      </c>
      <c r="B194" s="55" t="b">
        <f t="shared" si="10"/>
        <v>0</v>
      </c>
      <c r="C194" s="55" t="b">
        <f t="shared" si="11"/>
        <v>0</v>
      </c>
      <c r="D194" s="55" t="b">
        <f t="shared" si="12"/>
        <v>0</v>
      </c>
      <c r="E194" s="56"/>
      <c r="F194" s="76" t="e">
        <f t="shared" si="13"/>
        <v>#DIV/0!</v>
      </c>
      <c r="G194" s="76" t="e">
        <f t="shared" si="14"/>
        <v>#DIV/0!</v>
      </c>
      <c r="H194" s="76" t="e">
        <f t="shared" si="15"/>
        <v>#DIV/0!</v>
      </c>
      <c r="I194" s="77" t="e">
        <f t="shared" si="16"/>
        <v>#DIV/0!</v>
      </c>
      <c r="J194" s="53"/>
      <c r="K194" s="53"/>
    </row>
    <row r="195" spans="1:11" x14ac:dyDescent="0.25">
      <c r="A195" s="54">
        <f t="shared" si="9"/>
        <v>0</v>
      </c>
      <c r="B195" s="55" t="b">
        <f t="shared" si="10"/>
        <v>0</v>
      </c>
      <c r="C195" s="55" t="b">
        <f t="shared" si="11"/>
        <v>0</v>
      </c>
      <c r="D195" s="55" t="b">
        <f t="shared" si="12"/>
        <v>0</v>
      </c>
      <c r="E195" s="56"/>
      <c r="F195" s="76" t="e">
        <f t="shared" si="13"/>
        <v>#DIV/0!</v>
      </c>
      <c r="G195" s="76" t="e">
        <f t="shared" si="14"/>
        <v>#DIV/0!</v>
      </c>
      <c r="H195" s="76" t="e">
        <f t="shared" si="15"/>
        <v>#DIV/0!</v>
      </c>
      <c r="I195" s="77" t="e">
        <f t="shared" si="16"/>
        <v>#DIV/0!</v>
      </c>
      <c r="J195" s="53"/>
      <c r="K195" s="53"/>
    </row>
    <row r="196" spans="1:11" x14ac:dyDescent="0.25">
      <c r="A196" s="54">
        <f t="shared" si="9"/>
        <v>0</v>
      </c>
      <c r="B196" s="55" t="b">
        <f t="shared" si="10"/>
        <v>0</v>
      </c>
      <c r="C196" s="55" t="b">
        <f t="shared" si="11"/>
        <v>0</v>
      </c>
      <c r="D196" s="55" t="b">
        <f t="shared" si="12"/>
        <v>0</v>
      </c>
      <c r="E196" s="56"/>
      <c r="F196" s="76" t="e">
        <f t="shared" si="13"/>
        <v>#DIV/0!</v>
      </c>
      <c r="G196" s="76" t="e">
        <f t="shared" si="14"/>
        <v>#DIV/0!</v>
      </c>
      <c r="H196" s="76" t="e">
        <f t="shared" si="15"/>
        <v>#DIV/0!</v>
      </c>
      <c r="I196" s="77" t="e">
        <f t="shared" si="16"/>
        <v>#DIV/0!</v>
      </c>
      <c r="J196" s="53"/>
      <c r="K196" s="53"/>
    </row>
    <row r="197" spans="1:11" x14ac:dyDescent="0.25">
      <c r="A197" s="54">
        <f t="shared" si="9"/>
        <v>0</v>
      </c>
      <c r="B197" s="55" t="b">
        <f t="shared" si="10"/>
        <v>0</v>
      </c>
      <c r="C197" s="55" t="b">
        <f t="shared" si="11"/>
        <v>0</v>
      </c>
      <c r="D197" s="55" t="b">
        <f t="shared" si="12"/>
        <v>0</v>
      </c>
      <c r="E197" s="56"/>
      <c r="F197" s="76" t="e">
        <f t="shared" si="13"/>
        <v>#DIV/0!</v>
      </c>
      <c r="G197" s="76" t="e">
        <f t="shared" si="14"/>
        <v>#DIV/0!</v>
      </c>
      <c r="H197" s="76" t="e">
        <f t="shared" si="15"/>
        <v>#DIV/0!</v>
      </c>
      <c r="I197" s="77" t="e">
        <f t="shared" si="16"/>
        <v>#DIV/0!</v>
      </c>
      <c r="J197" s="53"/>
      <c r="K197" s="53"/>
    </row>
    <row r="198" spans="1:11" x14ac:dyDescent="0.25">
      <c r="A198" s="54">
        <f t="shared" si="9"/>
        <v>0</v>
      </c>
      <c r="B198" s="55" t="b">
        <f t="shared" si="10"/>
        <v>0</v>
      </c>
      <c r="C198" s="55" t="b">
        <f t="shared" si="11"/>
        <v>0</v>
      </c>
      <c r="D198" s="55" t="b">
        <f t="shared" si="12"/>
        <v>0</v>
      </c>
      <c r="E198" s="56"/>
      <c r="F198" s="76" t="e">
        <f t="shared" si="13"/>
        <v>#DIV/0!</v>
      </c>
      <c r="G198" s="76" t="e">
        <f t="shared" si="14"/>
        <v>#DIV/0!</v>
      </c>
      <c r="H198" s="76" t="e">
        <f t="shared" si="15"/>
        <v>#DIV/0!</v>
      </c>
      <c r="I198" s="77" t="e">
        <f t="shared" si="16"/>
        <v>#DIV/0!</v>
      </c>
      <c r="J198" s="53"/>
      <c r="K198" s="53"/>
    </row>
    <row r="199" spans="1:11" x14ac:dyDescent="0.25">
      <c r="A199" s="54">
        <f t="shared" si="9"/>
        <v>0</v>
      </c>
      <c r="B199" s="55" t="b">
        <f t="shared" si="10"/>
        <v>0</v>
      </c>
      <c r="C199" s="55" t="b">
        <f t="shared" si="11"/>
        <v>0</v>
      </c>
      <c r="D199" s="55" t="b">
        <f t="shared" si="12"/>
        <v>0</v>
      </c>
      <c r="E199" s="56"/>
      <c r="F199" s="76" t="e">
        <f t="shared" si="13"/>
        <v>#DIV/0!</v>
      </c>
      <c r="G199" s="76" t="e">
        <f t="shared" si="14"/>
        <v>#DIV/0!</v>
      </c>
      <c r="H199" s="76" t="e">
        <f t="shared" si="15"/>
        <v>#DIV/0!</v>
      </c>
      <c r="I199" s="77" t="e">
        <f t="shared" si="16"/>
        <v>#DIV/0!</v>
      </c>
      <c r="J199" s="53"/>
      <c r="K199" s="53"/>
    </row>
    <row r="200" spans="1:11" x14ac:dyDescent="0.25">
      <c r="A200" s="54">
        <f t="shared" si="9"/>
        <v>0</v>
      </c>
      <c r="B200" s="55" t="b">
        <f t="shared" si="10"/>
        <v>0</v>
      </c>
      <c r="C200" s="55" t="b">
        <f t="shared" si="11"/>
        <v>0</v>
      </c>
      <c r="D200" s="55" t="b">
        <f t="shared" si="12"/>
        <v>0</v>
      </c>
      <c r="E200" s="56"/>
      <c r="F200" s="76" t="e">
        <f t="shared" si="13"/>
        <v>#DIV/0!</v>
      </c>
      <c r="G200" s="76" t="e">
        <f t="shared" si="14"/>
        <v>#DIV/0!</v>
      </c>
      <c r="H200" s="76" t="e">
        <f t="shared" si="15"/>
        <v>#DIV/0!</v>
      </c>
      <c r="I200" s="77" t="e">
        <f t="shared" si="16"/>
        <v>#DIV/0!</v>
      </c>
      <c r="J200" s="53"/>
      <c r="K200" s="53"/>
    </row>
    <row r="201" spans="1:11" x14ac:dyDescent="0.25">
      <c r="A201" s="54">
        <f t="shared" si="9"/>
        <v>0</v>
      </c>
      <c r="B201" s="55" t="b">
        <f t="shared" si="10"/>
        <v>0</v>
      </c>
      <c r="C201" s="55" t="b">
        <f t="shared" si="11"/>
        <v>0</v>
      </c>
      <c r="D201" s="55" t="b">
        <f t="shared" si="12"/>
        <v>0</v>
      </c>
      <c r="E201" s="56"/>
      <c r="F201" s="76" t="e">
        <f t="shared" si="13"/>
        <v>#DIV/0!</v>
      </c>
      <c r="G201" s="76" t="e">
        <f t="shared" si="14"/>
        <v>#DIV/0!</v>
      </c>
      <c r="H201" s="76" t="e">
        <f t="shared" si="15"/>
        <v>#DIV/0!</v>
      </c>
      <c r="I201" s="77" t="e">
        <f t="shared" si="16"/>
        <v>#DIV/0!</v>
      </c>
      <c r="J201" s="53"/>
      <c r="K201" s="53"/>
    </row>
    <row r="202" spans="1:11" x14ac:dyDescent="0.25">
      <c r="A202" s="54">
        <f>IF(A100&gt;0,A201+1,0)</f>
        <v>0</v>
      </c>
      <c r="B202" s="55" t="b">
        <f t="shared" si="10"/>
        <v>0</v>
      </c>
      <c r="C202" s="55" t="b">
        <f t="shared" si="11"/>
        <v>0</v>
      </c>
      <c r="D202" s="55" t="b">
        <f t="shared" si="12"/>
        <v>0</v>
      </c>
      <c r="E202" s="56"/>
      <c r="F202" s="76" t="e">
        <f t="shared" si="13"/>
        <v>#DIV/0!</v>
      </c>
      <c r="G202" s="76" t="e">
        <f t="shared" si="14"/>
        <v>#DIV/0!</v>
      </c>
      <c r="H202" s="76" t="e">
        <f t="shared" si="15"/>
        <v>#DIV/0!</v>
      </c>
      <c r="I202" s="77" t="e">
        <f t="shared" si="16"/>
        <v>#DIV/0!</v>
      </c>
      <c r="J202" s="53"/>
      <c r="K202" s="53"/>
    </row>
    <row r="203" spans="1:11" x14ac:dyDescent="0.25">
      <c r="A203" s="54">
        <f>IF(A101&gt;0,A202+1,0)</f>
        <v>0</v>
      </c>
      <c r="B203" s="55" t="b">
        <f t="shared" si="10"/>
        <v>0</v>
      </c>
      <c r="C203" s="55" t="b">
        <f t="shared" si="11"/>
        <v>0</v>
      </c>
      <c r="D203" s="55" t="b">
        <f t="shared" si="12"/>
        <v>0</v>
      </c>
      <c r="E203" s="56"/>
      <c r="F203" s="76" t="e">
        <f t="shared" si="13"/>
        <v>#DIV/0!</v>
      </c>
      <c r="G203" s="76" t="e">
        <f t="shared" si="14"/>
        <v>#DIV/0!</v>
      </c>
      <c r="H203" s="76" t="e">
        <f t="shared" si="15"/>
        <v>#DIV/0!</v>
      </c>
      <c r="I203" s="77" t="e">
        <f t="shared" si="16"/>
        <v>#DIV/0!</v>
      </c>
      <c r="J203" s="53"/>
      <c r="K203" s="53"/>
    </row>
    <row r="204" spans="1:11" x14ac:dyDescent="0.25">
      <c r="A204" s="54">
        <f>IF(A102&gt;0,A203+1,0)</f>
        <v>0</v>
      </c>
      <c r="B204" s="55" t="b">
        <f t="shared" si="10"/>
        <v>0</v>
      </c>
      <c r="C204" s="55" t="b">
        <f t="shared" si="11"/>
        <v>0</v>
      </c>
      <c r="D204" s="55" t="b">
        <f t="shared" si="12"/>
        <v>0</v>
      </c>
      <c r="E204" s="56"/>
      <c r="F204" s="76" t="e">
        <f t="shared" si="13"/>
        <v>#DIV/0!</v>
      </c>
      <c r="G204" s="76" t="e">
        <f t="shared" si="14"/>
        <v>#DIV/0!</v>
      </c>
      <c r="H204" s="76" t="e">
        <f t="shared" si="15"/>
        <v>#DIV/0!</v>
      </c>
      <c r="I204" s="77" t="e">
        <f t="shared" si="16"/>
        <v>#DIV/0!</v>
      </c>
      <c r="J204" s="53"/>
      <c r="K204" s="53"/>
    </row>
    <row r="205" spans="1:11" x14ac:dyDescent="0.25">
      <c r="A205" s="53"/>
      <c r="B205" s="53"/>
      <c r="C205" s="53"/>
      <c r="D205" s="53"/>
      <c r="E205" s="57"/>
      <c r="F205" s="57"/>
      <c r="G205" s="57"/>
      <c r="H205" s="57"/>
      <c r="I205" s="53"/>
      <c r="J205" s="53"/>
      <c r="K205" s="53"/>
    </row>
    <row r="206" spans="1:11" x14ac:dyDescent="0.25">
      <c r="A206" s="53"/>
      <c r="B206" s="53"/>
      <c r="C206" s="53"/>
      <c r="D206" s="53"/>
      <c r="E206" s="57"/>
      <c r="F206" s="57"/>
      <c r="G206" s="57"/>
      <c r="H206" s="57"/>
      <c r="I206" s="53"/>
      <c r="J206" s="53"/>
      <c r="K206" s="53"/>
    </row>
    <row r="207" spans="1:11" x14ac:dyDescent="0.25">
      <c r="A207" s="53"/>
      <c r="B207" s="53"/>
      <c r="C207" s="53"/>
      <c r="D207" s="53"/>
      <c r="E207" s="57"/>
      <c r="F207" s="57"/>
      <c r="G207" s="57"/>
      <c r="H207" s="57"/>
      <c r="I207" s="53"/>
      <c r="J207" s="53"/>
      <c r="K207" s="53"/>
    </row>
    <row r="208" spans="1:11" x14ac:dyDescent="0.25">
      <c r="A208" s="182" t="s">
        <v>29</v>
      </c>
      <c r="B208" s="175" t="str">
        <f>Породы!B4</f>
        <v>Mellifera</v>
      </c>
      <c r="C208" s="175" t="s">
        <v>25</v>
      </c>
      <c r="D208" s="175"/>
      <c r="E208" s="175" t="s">
        <v>26</v>
      </c>
      <c r="F208" s="175"/>
      <c r="G208" s="175" t="s">
        <v>27</v>
      </c>
      <c r="H208" s="175"/>
      <c r="I208" s="175" t="s">
        <v>28</v>
      </c>
      <c r="J208" s="175"/>
      <c r="K208" s="53"/>
    </row>
    <row r="209" spans="1:11" x14ac:dyDescent="0.25">
      <c r="A209" s="182"/>
      <c r="B209" s="175"/>
      <c r="C209" s="58">
        <f>Породы!C4</f>
        <v>0.76</v>
      </c>
      <c r="D209" s="58">
        <f>Породы!E4</f>
        <v>-15.31</v>
      </c>
      <c r="E209" s="58">
        <f>C209</f>
        <v>0.76</v>
      </c>
      <c r="F209" s="58">
        <f>D210</f>
        <v>0</v>
      </c>
      <c r="G209" s="58">
        <f>E210</f>
        <v>2.16</v>
      </c>
      <c r="H209" s="58">
        <f t="shared" ref="H209:H238" si="17">D209</f>
        <v>-15.31</v>
      </c>
      <c r="I209" s="58">
        <f>C209</f>
        <v>0.76</v>
      </c>
      <c r="J209" s="58">
        <f>D209</f>
        <v>-15.31</v>
      </c>
      <c r="K209" s="53"/>
    </row>
    <row r="210" spans="1:11" x14ac:dyDescent="0.25">
      <c r="A210" s="182"/>
      <c r="B210" s="175"/>
      <c r="C210" s="58">
        <f>C209</f>
        <v>0.76</v>
      </c>
      <c r="D210" s="58">
        <f>Породы!F4</f>
        <v>0</v>
      </c>
      <c r="E210" s="58">
        <f>Породы!D4</f>
        <v>2.16</v>
      </c>
      <c r="F210" s="58">
        <f>D210</f>
        <v>0</v>
      </c>
      <c r="G210" s="58">
        <f>E210</f>
        <v>2.16</v>
      </c>
      <c r="H210" s="58">
        <f t="shared" si="17"/>
        <v>0</v>
      </c>
      <c r="I210" s="58">
        <f>E210</f>
        <v>2.16</v>
      </c>
      <c r="J210" s="58">
        <f>D209</f>
        <v>-15.31</v>
      </c>
      <c r="K210" s="53"/>
    </row>
    <row r="211" spans="1:11" x14ac:dyDescent="0.25">
      <c r="A211" s="182"/>
      <c r="B211" s="175" t="str">
        <f>Породы!B5</f>
        <v>Caucasica</v>
      </c>
      <c r="C211" s="58">
        <f>Породы!C5</f>
        <v>1.73</v>
      </c>
      <c r="D211" s="58">
        <f>Породы!E5</f>
        <v>-2.84</v>
      </c>
      <c r="E211" s="58">
        <f>C211</f>
        <v>1.73</v>
      </c>
      <c r="F211" s="58">
        <f>D212</f>
        <v>2.84</v>
      </c>
      <c r="G211" s="58">
        <f>E212</f>
        <v>2.75</v>
      </c>
      <c r="H211" s="58">
        <f t="shared" si="17"/>
        <v>-2.84</v>
      </c>
      <c r="I211" s="58">
        <f>C211</f>
        <v>1.73</v>
      </c>
      <c r="J211" s="58">
        <f>D211</f>
        <v>-2.84</v>
      </c>
      <c r="K211" s="53"/>
    </row>
    <row r="212" spans="1:11" x14ac:dyDescent="0.25">
      <c r="A212" s="182"/>
      <c r="B212" s="175"/>
      <c r="C212" s="58">
        <f>C211</f>
        <v>1.73</v>
      </c>
      <c r="D212" s="58">
        <f>Породы!F5</f>
        <v>2.84</v>
      </c>
      <c r="E212" s="58">
        <f>Породы!D5</f>
        <v>2.75</v>
      </c>
      <c r="F212" s="58">
        <f>D212</f>
        <v>2.84</v>
      </c>
      <c r="G212" s="58">
        <f>E212</f>
        <v>2.75</v>
      </c>
      <c r="H212" s="58">
        <f t="shared" si="17"/>
        <v>2.84</v>
      </c>
      <c r="I212" s="58">
        <f>E212</f>
        <v>2.75</v>
      </c>
      <c r="J212" s="58">
        <f>D211</f>
        <v>-2.84</v>
      </c>
      <c r="K212" s="53"/>
    </row>
    <row r="213" spans="1:11" x14ac:dyDescent="0.25">
      <c r="A213" s="182"/>
      <c r="B213" s="175" t="str">
        <f>Породы!B6</f>
        <v>Ligustica</v>
      </c>
      <c r="C213" s="58">
        <f>Породы!C6</f>
        <v>2</v>
      </c>
      <c r="D213" s="58">
        <f>Породы!E6</f>
        <v>0</v>
      </c>
      <c r="E213" s="58">
        <f>C213</f>
        <v>2</v>
      </c>
      <c r="F213" s="58">
        <f>D214</f>
        <v>4.7300000000000004</v>
      </c>
      <c r="G213" s="58">
        <f>E214</f>
        <v>3.29</v>
      </c>
      <c r="H213" s="58">
        <f t="shared" si="17"/>
        <v>0</v>
      </c>
      <c r="I213" s="58">
        <f>C213</f>
        <v>2</v>
      </c>
      <c r="J213" s="58">
        <f>D213</f>
        <v>0</v>
      </c>
      <c r="K213" s="53"/>
    </row>
    <row r="214" spans="1:11" x14ac:dyDescent="0.25">
      <c r="A214" s="182"/>
      <c r="B214" s="175"/>
      <c r="C214" s="58">
        <f>C213</f>
        <v>2</v>
      </c>
      <c r="D214" s="58">
        <f>Породы!F6</f>
        <v>4.7300000000000004</v>
      </c>
      <c r="E214" s="58">
        <f>Породы!D6</f>
        <v>3.29</v>
      </c>
      <c r="F214" s="58">
        <f>D214</f>
        <v>4.7300000000000004</v>
      </c>
      <c r="G214" s="58">
        <f>E214</f>
        <v>3.29</v>
      </c>
      <c r="H214" s="58">
        <f t="shared" si="17"/>
        <v>4.7300000000000004</v>
      </c>
      <c r="I214" s="58">
        <f>E214</f>
        <v>3.29</v>
      </c>
      <c r="J214" s="58">
        <f>D213</f>
        <v>0</v>
      </c>
      <c r="K214" s="53"/>
    </row>
    <row r="215" spans="1:11" x14ac:dyDescent="0.25">
      <c r="A215" s="182"/>
      <c r="B215" s="175" t="str">
        <f>Породы!B7</f>
        <v>Carnica</v>
      </c>
      <c r="C215" s="58">
        <f>Породы!C7</f>
        <v>2.16</v>
      </c>
      <c r="D215" s="58">
        <f>Породы!E7</f>
        <v>0</v>
      </c>
      <c r="E215" s="58">
        <f>C215</f>
        <v>2.16</v>
      </c>
      <c r="F215" s="58">
        <f>D216</f>
        <v>12.39</v>
      </c>
      <c r="G215" s="58">
        <f>E216</f>
        <v>5.67</v>
      </c>
      <c r="H215" s="58">
        <f t="shared" si="17"/>
        <v>0</v>
      </c>
      <c r="I215" s="58">
        <f>C215</f>
        <v>2.16</v>
      </c>
      <c r="J215" s="58">
        <f>D215</f>
        <v>0</v>
      </c>
      <c r="K215" s="53"/>
    </row>
    <row r="216" spans="1:11" x14ac:dyDescent="0.25">
      <c r="A216" s="182"/>
      <c r="B216" s="175"/>
      <c r="C216" s="58">
        <f>C215</f>
        <v>2.16</v>
      </c>
      <c r="D216" s="58">
        <f>Породы!F7</f>
        <v>12.39</v>
      </c>
      <c r="E216" s="58">
        <f>Породы!D7</f>
        <v>5.67</v>
      </c>
      <c r="F216" s="58">
        <f>D216</f>
        <v>12.39</v>
      </c>
      <c r="G216" s="58">
        <f>E216</f>
        <v>5.67</v>
      </c>
      <c r="H216" s="58">
        <f t="shared" si="17"/>
        <v>12.39</v>
      </c>
      <c r="I216" s="58">
        <f>E216</f>
        <v>5.67</v>
      </c>
      <c r="J216" s="58">
        <f>D215</f>
        <v>0</v>
      </c>
      <c r="K216" s="53"/>
    </row>
    <row r="217" spans="1:11" x14ac:dyDescent="0.25">
      <c r="A217" s="182"/>
      <c r="B217" s="175" t="s">
        <v>30</v>
      </c>
      <c r="C217" s="58">
        <f>Индексы!B108</f>
        <v>1.1960508255471205</v>
      </c>
      <c r="D217" s="58">
        <f>Индексы!C108</f>
        <v>-6.3381011661234554</v>
      </c>
      <c r="E217" s="58">
        <f>C217</f>
        <v>1.1960508255471205</v>
      </c>
      <c r="F217" s="58">
        <f>D218</f>
        <v>-1.7634611661234549</v>
      </c>
      <c r="G217" s="58">
        <f>E218</f>
        <v>1.6703708255471206</v>
      </c>
      <c r="H217" s="58">
        <f t="shared" si="17"/>
        <v>-6.3381011661234554</v>
      </c>
      <c r="I217" s="58">
        <f>C217</f>
        <v>1.1960508255471205</v>
      </c>
      <c r="J217" s="58">
        <f>D217</f>
        <v>-6.3381011661234554</v>
      </c>
      <c r="K217" s="53"/>
    </row>
    <row r="218" spans="1:11" x14ac:dyDescent="0.25">
      <c r="A218" s="182"/>
      <c r="B218" s="175"/>
      <c r="C218" s="58">
        <f>C217</f>
        <v>1.1960508255471205</v>
      </c>
      <c r="D218" s="58">
        <f>Индексы!C109</f>
        <v>-1.7634611661234549</v>
      </c>
      <c r="E218" s="58">
        <f>Индексы!B109</f>
        <v>1.6703708255471206</v>
      </c>
      <c r="F218" s="58">
        <f>D218</f>
        <v>-1.7634611661234549</v>
      </c>
      <c r="G218" s="58">
        <f>E218</f>
        <v>1.6703708255471206</v>
      </c>
      <c r="H218" s="58">
        <f t="shared" si="17"/>
        <v>-1.7634611661234549</v>
      </c>
      <c r="I218" s="58">
        <f>E218</f>
        <v>1.6703708255471206</v>
      </c>
      <c r="J218" s="58">
        <f>D217</f>
        <v>-6.3381011661234554</v>
      </c>
      <c r="K218" s="53"/>
    </row>
    <row r="219" spans="1:11" x14ac:dyDescent="0.25">
      <c r="A219" s="182" t="s">
        <v>31</v>
      </c>
      <c r="B219" s="175" t="str">
        <f>B208</f>
        <v>Mellifera</v>
      </c>
      <c r="C219" s="58">
        <f>C209</f>
        <v>0.76</v>
      </c>
      <c r="D219" s="58">
        <f>Породы!G4</f>
        <v>0.61599999999999999</v>
      </c>
      <c r="E219" s="58">
        <f>C219</f>
        <v>0.76</v>
      </c>
      <c r="F219" s="58">
        <f>D220</f>
        <v>0.92300000000000004</v>
      </c>
      <c r="G219" s="58">
        <f>E220</f>
        <v>2.16</v>
      </c>
      <c r="H219" s="58">
        <f t="shared" si="17"/>
        <v>0.61599999999999999</v>
      </c>
      <c r="I219" s="58">
        <f>C219</f>
        <v>0.76</v>
      </c>
      <c r="J219" s="58">
        <f>D219</f>
        <v>0.61599999999999999</v>
      </c>
      <c r="K219" s="53"/>
    </row>
    <row r="220" spans="1:11" x14ac:dyDescent="0.25">
      <c r="A220" s="182"/>
      <c r="B220" s="175"/>
      <c r="C220" s="58">
        <f>C219</f>
        <v>0.76</v>
      </c>
      <c r="D220" s="58">
        <f>Породы!H4</f>
        <v>0.92300000000000004</v>
      </c>
      <c r="E220" s="58">
        <f>Породы!D4</f>
        <v>2.16</v>
      </c>
      <c r="F220" s="58">
        <f>D220</f>
        <v>0.92300000000000004</v>
      </c>
      <c r="G220" s="58">
        <f>E220</f>
        <v>2.16</v>
      </c>
      <c r="H220" s="58">
        <f t="shared" si="17"/>
        <v>0.92300000000000004</v>
      </c>
      <c r="I220" s="58">
        <f>E220</f>
        <v>2.16</v>
      </c>
      <c r="J220" s="58">
        <f>D219</f>
        <v>0.61599999999999999</v>
      </c>
      <c r="K220" s="53"/>
    </row>
    <row r="221" spans="1:11" x14ac:dyDescent="0.25">
      <c r="A221" s="182"/>
      <c r="B221" s="175" t="str">
        <f>B211</f>
        <v>Caucasica</v>
      </c>
      <c r="C221" s="58">
        <f>Породы!C5</f>
        <v>1.73</v>
      </c>
      <c r="D221" s="58">
        <f>Породы!G5</f>
        <v>0.70399999999999996</v>
      </c>
      <c r="E221" s="58">
        <f>C221</f>
        <v>1.73</v>
      </c>
      <c r="F221" s="58">
        <f>D222</f>
        <v>1.0269999999999999</v>
      </c>
      <c r="G221" s="58">
        <f>E222</f>
        <v>2.75</v>
      </c>
      <c r="H221" s="58">
        <f t="shared" si="17"/>
        <v>0.70399999999999996</v>
      </c>
      <c r="I221" s="58">
        <f>C221</f>
        <v>1.73</v>
      </c>
      <c r="J221" s="58">
        <f>D221</f>
        <v>0.70399999999999996</v>
      </c>
      <c r="K221" s="53"/>
    </row>
    <row r="222" spans="1:11" x14ac:dyDescent="0.25">
      <c r="A222" s="182"/>
      <c r="B222" s="175"/>
      <c r="C222" s="58">
        <f>C221</f>
        <v>1.73</v>
      </c>
      <c r="D222" s="58">
        <f>Породы!H5</f>
        <v>1.0269999999999999</v>
      </c>
      <c r="E222" s="58">
        <f>Породы!D5</f>
        <v>2.75</v>
      </c>
      <c r="F222" s="58">
        <f>D222</f>
        <v>1.0269999999999999</v>
      </c>
      <c r="G222" s="58">
        <f>E222</f>
        <v>2.75</v>
      </c>
      <c r="H222" s="58">
        <f t="shared" si="17"/>
        <v>1.0269999999999999</v>
      </c>
      <c r="I222" s="58">
        <f>E222</f>
        <v>2.75</v>
      </c>
      <c r="J222" s="58">
        <f>D221</f>
        <v>0.70399999999999996</v>
      </c>
      <c r="K222" s="53"/>
    </row>
    <row r="223" spans="1:11" x14ac:dyDescent="0.25">
      <c r="A223" s="182"/>
      <c r="B223" s="175" t="str">
        <f>B213</f>
        <v>Ligustica</v>
      </c>
      <c r="C223" s="58">
        <f>Породы!C6</f>
        <v>2</v>
      </c>
      <c r="D223" s="58">
        <f>Породы!G6</f>
        <v>0.92300000000000004</v>
      </c>
      <c r="E223" s="58">
        <f>C223</f>
        <v>2</v>
      </c>
      <c r="F223" s="58">
        <f>D224</f>
        <v>1.206</v>
      </c>
      <c r="G223" s="58">
        <f>E224</f>
        <v>3.29</v>
      </c>
      <c r="H223" s="58">
        <f t="shared" si="17"/>
        <v>0.92300000000000004</v>
      </c>
      <c r="I223" s="58">
        <f>C223</f>
        <v>2</v>
      </c>
      <c r="J223" s="58">
        <f>D223</f>
        <v>0.92300000000000004</v>
      </c>
      <c r="K223" s="53"/>
    </row>
    <row r="224" spans="1:11" x14ac:dyDescent="0.25">
      <c r="A224" s="182"/>
      <c r="B224" s="175"/>
      <c r="C224" s="58">
        <f>C223</f>
        <v>2</v>
      </c>
      <c r="D224" s="58">
        <f>Породы!H6</f>
        <v>1.206</v>
      </c>
      <c r="E224" s="58">
        <f>Породы!D6</f>
        <v>3.29</v>
      </c>
      <c r="F224" s="58">
        <f>D224</f>
        <v>1.206</v>
      </c>
      <c r="G224" s="58">
        <f>E224</f>
        <v>3.29</v>
      </c>
      <c r="H224" s="58">
        <f t="shared" si="17"/>
        <v>1.206</v>
      </c>
      <c r="I224" s="58">
        <f>E224</f>
        <v>3.29</v>
      </c>
      <c r="J224" s="58">
        <f>D223</f>
        <v>0.92300000000000004</v>
      </c>
      <c r="K224" s="53"/>
    </row>
    <row r="225" spans="1:11" x14ac:dyDescent="0.25">
      <c r="A225" s="182"/>
      <c r="B225" s="175" t="str">
        <f>B215</f>
        <v>Carnica</v>
      </c>
      <c r="C225" s="58">
        <f>Породы!C7</f>
        <v>2.16</v>
      </c>
      <c r="D225" s="58">
        <f>Породы!G7</f>
        <v>0.92300000000000004</v>
      </c>
      <c r="E225" s="58">
        <f>C225</f>
        <v>2.16</v>
      </c>
      <c r="F225" s="58">
        <f>D226</f>
        <v>1.42</v>
      </c>
      <c r="G225" s="58">
        <f>E226</f>
        <v>5.67</v>
      </c>
      <c r="H225" s="58">
        <f t="shared" si="17"/>
        <v>0.92300000000000004</v>
      </c>
      <c r="I225" s="58">
        <f>C225</f>
        <v>2.16</v>
      </c>
      <c r="J225" s="58">
        <f>D225</f>
        <v>0.92300000000000004</v>
      </c>
      <c r="K225" s="53"/>
    </row>
    <row r="226" spans="1:11" x14ac:dyDescent="0.25">
      <c r="A226" s="182"/>
      <c r="B226" s="175"/>
      <c r="C226" s="58">
        <f>C225</f>
        <v>2.16</v>
      </c>
      <c r="D226" s="58">
        <f>Породы!H7</f>
        <v>1.42</v>
      </c>
      <c r="E226" s="58">
        <f>Породы!D7</f>
        <v>5.67</v>
      </c>
      <c r="F226" s="58">
        <f>D226</f>
        <v>1.42</v>
      </c>
      <c r="G226" s="58">
        <f>E226</f>
        <v>5.67</v>
      </c>
      <c r="H226" s="58">
        <f t="shared" si="17"/>
        <v>1.42</v>
      </c>
      <c r="I226" s="58">
        <f>E226</f>
        <v>5.67</v>
      </c>
      <c r="J226" s="58">
        <f>D225</f>
        <v>0.92300000000000004</v>
      </c>
      <c r="K226" s="53"/>
    </row>
    <row r="227" spans="1:11" x14ac:dyDescent="0.25">
      <c r="A227" s="182"/>
      <c r="B227" s="175" t="str">
        <f>B217</f>
        <v>Doverit</v>
      </c>
      <c r="C227" s="58">
        <f>Индексы!B108</f>
        <v>1.1960508255471205</v>
      </c>
      <c r="D227" s="58">
        <f>Индексы!D108</f>
        <v>0.75242070326364108</v>
      </c>
      <c r="E227" s="58">
        <f>C227</f>
        <v>1.1960508255471205</v>
      </c>
      <c r="F227" s="58">
        <f>D228</f>
        <v>0.93274070326364111</v>
      </c>
      <c r="G227" s="58">
        <f>E228</f>
        <v>1.6703708255471206</v>
      </c>
      <c r="H227" s="58">
        <f t="shared" si="17"/>
        <v>0.75242070326364108</v>
      </c>
      <c r="I227" s="58">
        <f>C227</f>
        <v>1.1960508255471205</v>
      </c>
      <c r="J227" s="58">
        <f>D227</f>
        <v>0.75242070326364108</v>
      </c>
      <c r="K227" s="53"/>
    </row>
    <row r="228" spans="1:11" x14ac:dyDescent="0.25">
      <c r="A228" s="182"/>
      <c r="B228" s="175"/>
      <c r="C228" s="58">
        <f>C227</f>
        <v>1.1960508255471205</v>
      </c>
      <c r="D228" s="58">
        <f>Индексы!D109</f>
        <v>0.93274070326364111</v>
      </c>
      <c r="E228" s="58">
        <f>Индексы!B109</f>
        <v>1.6703708255471206</v>
      </c>
      <c r="F228" s="58">
        <f>D228</f>
        <v>0.93274070326364111</v>
      </c>
      <c r="G228" s="58">
        <f>E228</f>
        <v>1.6703708255471206</v>
      </c>
      <c r="H228" s="58">
        <f t="shared" si="17"/>
        <v>0.93274070326364111</v>
      </c>
      <c r="I228" s="58">
        <f>E228</f>
        <v>1.6703708255471206</v>
      </c>
      <c r="J228" s="58">
        <f>D227</f>
        <v>0.75242070326364108</v>
      </c>
      <c r="K228" s="53"/>
    </row>
    <row r="229" spans="1:11" x14ac:dyDescent="0.25">
      <c r="A229" s="182" t="s">
        <v>32</v>
      </c>
      <c r="B229" s="175" t="str">
        <f>B219</f>
        <v>Mellifera</v>
      </c>
      <c r="C229" s="58">
        <f>Породы!G4</f>
        <v>0.61599999999999999</v>
      </c>
      <c r="D229" s="58">
        <f>Породы!E4</f>
        <v>-15.31</v>
      </c>
      <c r="E229" s="58">
        <f>C229</f>
        <v>0.61599999999999999</v>
      </c>
      <c r="F229" s="58">
        <f>D230</f>
        <v>0</v>
      </c>
      <c r="G229" s="58">
        <f>E230</f>
        <v>0.92300000000000004</v>
      </c>
      <c r="H229" s="58">
        <f t="shared" si="17"/>
        <v>-15.31</v>
      </c>
      <c r="I229" s="58">
        <f>C229</f>
        <v>0.61599999999999999</v>
      </c>
      <c r="J229" s="58">
        <f>D229</f>
        <v>-15.31</v>
      </c>
      <c r="K229" s="53"/>
    </row>
    <row r="230" spans="1:11" x14ac:dyDescent="0.25">
      <c r="A230" s="182"/>
      <c r="B230" s="175"/>
      <c r="C230" s="58">
        <f>C229</f>
        <v>0.61599999999999999</v>
      </c>
      <c r="D230" s="58">
        <f>Породы!F4</f>
        <v>0</v>
      </c>
      <c r="E230" s="58">
        <f>Породы!H4</f>
        <v>0.92300000000000004</v>
      </c>
      <c r="F230" s="58">
        <f>D230</f>
        <v>0</v>
      </c>
      <c r="G230" s="58">
        <f>E230</f>
        <v>0.92300000000000004</v>
      </c>
      <c r="H230" s="58">
        <f t="shared" si="17"/>
        <v>0</v>
      </c>
      <c r="I230" s="58">
        <f>E230</f>
        <v>0.92300000000000004</v>
      </c>
      <c r="J230" s="58">
        <f>D229</f>
        <v>-15.31</v>
      </c>
      <c r="K230" s="53"/>
    </row>
    <row r="231" spans="1:11" x14ac:dyDescent="0.25">
      <c r="A231" s="182"/>
      <c r="B231" s="175" t="str">
        <f>B221</f>
        <v>Caucasica</v>
      </c>
      <c r="C231" s="58">
        <f>Породы!G5</f>
        <v>0.70399999999999996</v>
      </c>
      <c r="D231" s="58">
        <f>Породы!E5</f>
        <v>-2.84</v>
      </c>
      <c r="E231" s="58">
        <f>C231</f>
        <v>0.70399999999999996</v>
      </c>
      <c r="F231" s="58">
        <f>D232</f>
        <v>2.84</v>
      </c>
      <c r="G231" s="58">
        <f>E232</f>
        <v>1.0269999999999999</v>
      </c>
      <c r="H231" s="58">
        <f t="shared" si="17"/>
        <v>-2.84</v>
      </c>
      <c r="I231" s="58">
        <f>C231</f>
        <v>0.70399999999999996</v>
      </c>
      <c r="J231" s="58">
        <f>D231</f>
        <v>-2.84</v>
      </c>
      <c r="K231" s="53"/>
    </row>
    <row r="232" spans="1:11" x14ac:dyDescent="0.25">
      <c r="A232" s="182"/>
      <c r="B232" s="175"/>
      <c r="C232" s="58">
        <f>C231</f>
        <v>0.70399999999999996</v>
      </c>
      <c r="D232" s="58">
        <f>Породы!F5</f>
        <v>2.84</v>
      </c>
      <c r="E232" s="58">
        <f>Породы!H5</f>
        <v>1.0269999999999999</v>
      </c>
      <c r="F232" s="58">
        <f>D232</f>
        <v>2.84</v>
      </c>
      <c r="G232" s="58">
        <f>E232</f>
        <v>1.0269999999999999</v>
      </c>
      <c r="H232" s="58">
        <f t="shared" si="17"/>
        <v>2.84</v>
      </c>
      <c r="I232" s="58">
        <f>E232</f>
        <v>1.0269999999999999</v>
      </c>
      <c r="J232" s="58">
        <f>D231</f>
        <v>-2.84</v>
      </c>
      <c r="K232" s="53"/>
    </row>
    <row r="233" spans="1:11" x14ac:dyDescent="0.25">
      <c r="A233" s="182"/>
      <c r="B233" s="175" t="str">
        <f>B223</f>
        <v>Ligustica</v>
      </c>
      <c r="C233" s="58">
        <f>Породы!G6</f>
        <v>0.92300000000000004</v>
      </c>
      <c r="D233" s="58">
        <f>Породы!E6</f>
        <v>0</v>
      </c>
      <c r="E233" s="58">
        <f>C233</f>
        <v>0.92300000000000004</v>
      </c>
      <c r="F233" s="58">
        <f>D234</f>
        <v>4.7300000000000004</v>
      </c>
      <c r="G233" s="58">
        <f>E234</f>
        <v>1.206</v>
      </c>
      <c r="H233" s="58">
        <f t="shared" si="17"/>
        <v>0</v>
      </c>
      <c r="I233" s="58">
        <f>C233</f>
        <v>0.92300000000000004</v>
      </c>
      <c r="J233" s="58">
        <f>D233</f>
        <v>0</v>
      </c>
      <c r="K233" s="53"/>
    </row>
    <row r="234" spans="1:11" x14ac:dyDescent="0.25">
      <c r="A234" s="182"/>
      <c r="B234" s="175"/>
      <c r="C234" s="58">
        <f>C233</f>
        <v>0.92300000000000004</v>
      </c>
      <c r="D234" s="58">
        <f>Породы!F6</f>
        <v>4.7300000000000004</v>
      </c>
      <c r="E234" s="58">
        <f>Породы!H6</f>
        <v>1.206</v>
      </c>
      <c r="F234" s="58">
        <f>D234</f>
        <v>4.7300000000000004</v>
      </c>
      <c r="G234" s="58">
        <f>E234</f>
        <v>1.206</v>
      </c>
      <c r="H234" s="58">
        <f t="shared" si="17"/>
        <v>4.7300000000000004</v>
      </c>
      <c r="I234" s="58">
        <f>E234</f>
        <v>1.206</v>
      </c>
      <c r="J234" s="58">
        <f>D233</f>
        <v>0</v>
      </c>
      <c r="K234" s="53"/>
    </row>
    <row r="235" spans="1:11" x14ac:dyDescent="0.25">
      <c r="A235" s="182"/>
      <c r="B235" s="175" t="str">
        <f>B225</f>
        <v>Carnica</v>
      </c>
      <c r="C235" s="58">
        <f>Породы!G7</f>
        <v>0.92300000000000004</v>
      </c>
      <c r="D235" s="58">
        <f>Породы!E7</f>
        <v>0</v>
      </c>
      <c r="E235" s="58">
        <f>C235</f>
        <v>0.92300000000000004</v>
      </c>
      <c r="F235" s="58">
        <f>D236</f>
        <v>12.39</v>
      </c>
      <c r="G235" s="58">
        <f>E236</f>
        <v>1.42</v>
      </c>
      <c r="H235" s="58">
        <f t="shared" si="17"/>
        <v>0</v>
      </c>
      <c r="I235" s="58">
        <f>C235</f>
        <v>0.92300000000000004</v>
      </c>
      <c r="J235" s="58">
        <f>D235</f>
        <v>0</v>
      </c>
      <c r="K235" s="53"/>
    </row>
    <row r="236" spans="1:11" x14ac:dyDescent="0.25">
      <c r="A236" s="182"/>
      <c r="B236" s="175"/>
      <c r="C236" s="58">
        <f>C235</f>
        <v>0.92300000000000004</v>
      </c>
      <c r="D236" s="58">
        <f>Породы!F7</f>
        <v>12.39</v>
      </c>
      <c r="E236" s="58">
        <f>Породы!H7</f>
        <v>1.42</v>
      </c>
      <c r="F236" s="58">
        <f>D236</f>
        <v>12.39</v>
      </c>
      <c r="G236" s="58">
        <f>E236</f>
        <v>1.42</v>
      </c>
      <c r="H236" s="58">
        <f t="shared" si="17"/>
        <v>12.39</v>
      </c>
      <c r="I236" s="58">
        <f>E236</f>
        <v>1.42</v>
      </c>
      <c r="J236" s="58">
        <f>D235</f>
        <v>0</v>
      </c>
      <c r="K236" s="53"/>
    </row>
    <row r="237" spans="1:11" x14ac:dyDescent="0.25">
      <c r="A237" s="182"/>
      <c r="B237" s="175" t="str">
        <f>B227</f>
        <v>Doverit</v>
      </c>
      <c r="C237" s="58">
        <f>Индексы!D108</f>
        <v>0.75242070326364108</v>
      </c>
      <c r="D237" s="58">
        <f>Индексы!C108</f>
        <v>-6.3381011661234554</v>
      </c>
      <c r="E237" s="58">
        <f>C237</f>
        <v>0.75242070326364108</v>
      </c>
      <c r="F237" s="58">
        <f>D238</f>
        <v>-1.7634611661234549</v>
      </c>
      <c r="G237" s="58">
        <f>E238</f>
        <v>0.93274070326364111</v>
      </c>
      <c r="H237" s="58">
        <f t="shared" si="17"/>
        <v>-6.3381011661234554</v>
      </c>
      <c r="I237" s="58">
        <f>C237</f>
        <v>0.75242070326364108</v>
      </c>
      <c r="J237" s="58">
        <f>D237</f>
        <v>-6.3381011661234554</v>
      </c>
      <c r="K237" s="53"/>
    </row>
    <row r="238" spans="1:11" x14ac:dyDescent="0.25">
      <c r="A238" s="182"/>
      <c r="B238" s="175"/>
      <c r="C238" s="58">
        <f>C237</f>
        <v>0.75242070326364108</v>
      </c>
      <c r="D238" s="58">
        <f>Индексы!C109</f>
        <v>-1.7634611661234549</v>
      </c>
      <c r="E238" s="58">
        <f>Индексы!D109</f>
        <v>0.93274070326364111</v>
      </c>
      <c r="F238" s="58">
        <f>D238</f>
        <v>-1.7634611661234549</v>
      </c>
      <c r="G238" s="58">
        <f>E238</f>
        <v>0.93274070326364111</v>
      </c>
      <c r="H238" s="58">
        <f t="shared" si="17"/>
        <v>-1.7634611661234549</v>
      </c>
      <c r="I238" s="58">
        <f>E238</f>
        <v>0.93274070326364111</v>
      </c>
      <c r="J238" s="58">
        <f>D237</f>
        <v>-6.3381011661234554</v>
      </c>
      <c r="K238" s="53"/>
    </row>
    <row r="239" spans="1:11" x14ac:dyDescent="0.25">
      <c r="A239" s="176" t="s">
        <v>97</v>
      </c>
      <c r="B239" s="177"/>
      <c r="C239" s="175" t="s">
        <v>25</v>
      </c>
      <c r="D239" s="175"/>
      <c r="E239" s="187"/>
      <c r="F239" s="187"/>
      <c r="G239" s="175" t="s">
        <v>27</v>
      </c>
      <c r="H239" s="175"/>
      <c r="I239" s="187"/>
      <c r="J239" s="187"/>
      <c r="K239" s="53"/>
    </row>
    <row r="240" spans="1:11" x14ac:dyDescent="0.25">
      <c r="A240" s="178"/>
      <c r="B240" s="179"/>
      <c r="C240" s="183" t="s">
        <v>98</v>
      </c>
      <c r="D240" s="184"/>
      <c r="E240" s="185" t="s">
        <v>99</v>
      </c>
      <c r="F240" s="186"/>
      <c r="G240" s="183" t="s">
        <v>98</v>
      </c>
      <c r="H240" s="184"/>
      <c r="I240" s="185" t="s">
        <v>99</v>
      </c>
      <c r="J240" s="186"/>
      <c r="K240" s="53"/>
    </row>
    <row r="241" spans="1:11" x14ac:dyDescent="0.25">
      <c r="A241" s="178"/>
      <c r="B241" s="179"/>
      <c r="C241" s="58">
        <f ca="1">MATCH(OFFSET(Породы!C3,MATCH(Анализ!C14,Результаты!H23:H26,0),0),Графики!$B$1:$B$30,1)-IF(Анализ!R25=1,1,0)</f>
        <v>1</v>
      </c>
      <c r="D241" s="58">
        <v>0</v>
      </c>
      <c r="E241" s="58">
        <f ca="1">IF(Анализ!R25=1,C241,C241-3)</f>
        <v>1</v>
      </c>
      <c r="F241" s="91">
        <v>0</v>
      </c>
      <c r="G241" s="58">
        <f ca="1">MATCH(OFFSET(Породы!D3,MATCH(Анализ!C14,Результаты!H23:H26,0),0),Графики!$B$1:$B$30,1)-1</f>
        <v>16</v>
      </c>
      <c r="H241" s="58">
        <v>0</v>
      </c>
      <c r="I241" s="58">
        <f ca="1">IF(Анализ!R25=4,G241,IF(G241&gt;=23,G241,G241+3))</f>
        <v>19</v>
      </c>
      <c r="J241" s="91">
        <v>0</v>
      </c>
      <c r="K241" s="53"/>
    </row>
    <row r="242" spans="1:11" x14ac:dyDescent="0.25">
      <c r="A242" s="180"/>
      <c r="B242" s="181"/>
      <c r="C242" s="58">
        <f ca="1">C241</f>
        <v>1</v>
      </c>
      <c r="D242" s="58">
        <f>Графики!C35</f>
        <v>14</v>
      </c>
      <c r="E242" s="58">
        <f ca="1">E241</f>
        <v>1</v>
      </c>
      <c r="F242" s="91">
        <f>D242</f>
        <v>14</v>
      </c>
      <c r="G242" s="58">
        <f ca="1">G241</f>
        <v>16</v>
      </c>
      <c r="H242" s="58">
        <f>F242</f>
        <v>14</v>
      </c>
      <c r="I242" s="58">
        <f ca="1">I241</f>
        <v>19</v>
      </c>
      <c r="J242" s="91">
        <f>H242</f>
        <v>14</v>
      </c>
      <c r="K242" s="53"/>
    </row>
    <row r="243" spans="1:11" x14ac:dyDescent="0.25">
      <c r="A243" s="176" t="s">
        <v>103</v>
      </c>
      <c r="B243" s="177"/>
      <c r="C243" s="175" t="s">
        <v>25</v>
      </c>
      <c r="D243" s="175"/>
      <c r="E243" s="187"/>
      <c r="F243" s="187"/>
      <c r="G243" s="175" t="s">
        <v>27</v>
      </c>
      <c r="H243" s="175"/>
      <c r="I243" s="187"/>
      <c r="J243" s="187"/>
      <c r="K243" s="53"/>
    </row>
    <row r="244" spans="1:11" x14ac:dyDescent="0.25">
      <c r="A244" s="178"/>
      <c r="B244" s="179"/>
      <c r="C244" s="183" t="s">
        <v>98</v>
      </c>
      <c r="D244" s="184"/>
      <c r="E244" s="185" t="s">
        <v>99</v>
      </c>
      <c r="F244" s="186"/>
      <c r="G244" s="183" t="s">
        <v>98</v>
      </c>
      <c r="H244" s="184"/>
      <c r="I244" s="185" t="s">
        <v>99</v>
      </c>
      <c r="J244" s="186"/>
      <c r="K244" s="53"/>
    </row>
    <row r="245" spans="1:11" x14ac:dyDescent="0.25">
      <c r="A245" s="178"/>
      <c r="B245" s="179"/>
      <c r="C245" s="58">
        <f ca="1">MATCH(OFFSET(Породы!E3,MATCH(Анализ!C14,Результаты!H23:H26,0),0),Графики!$G$1:$G$30,1)-IF(Анализ!R25=1,1,0)</f>
        <v>1</v>
      </c>
      <c r="D245" s="58">
        <v>0</v>
      </c>
      <c r="E245" s="58">
        <f ca="1">IF(Анализ!R25=1,C245,C245-4)</f>
        <v>1</v>
      </c>
      <c r="F245" s="91">
        <v>0</v>
      </c>
      <c r="G245" s="58">
        <f ca="1">MATCH(OFFSET(Породы!E3,MATCH(Анализ!C14,Результаты!H23:H26,0),1),Графики!$G$1:$G$33,1)-1</f>
        <v>17</v>
      </c>
      <c r="H245" s="58">
        <v>0</v>
      </c>
      <c r="I245" s="58">
        <f ca="1">IF(Анализ!R25=4,G245,IF(G245&gt;=27,G245,G245+4))</f>
        <v>21</v>
      </c>
      <c r="J245" s="91">
        <v>0</v>
      </c>
      <c r="K245" s="53"/>
    </row>
    <row r="246" spans="1:11" x14ac:dyDescent="0.25">
      <c r="A246" s="180"/>
      <c r="B246" s="181"/>
      <c r="C246" s="58">
        <f ca="1">C245</f>
        <v>1</v>
      </c>
      <c r="D246" s="58">
        <f>Графики!H35</f>
        <v>11</v>
      </c>
      <c r="E246" s="58">
        <f ca="1">E245</f>
        <v>1</v>
      </c>
      <c r="F246" s="91">
        <f>D246</f>
        <v>11</v>
      </c>
      <c r="G246" s="58">
        <f ca="1">G245</f>
        <v>17</v>
      </c>
      <c r="H246" s="58">
        <f>F246</f>
        <v>11</v>
      </c>
      <c r="I246" s="58">
        <f ca="1">I245</f>
        <v>21</v>
      </c>
      <c r="J246" s="91">
        <f>H246</f>
        <v>11</v>
      </c>
      <c r="K246" s="53"/>
    </row>
    <row r="247" spans="1:11" x14ac:dyDescent="0.25">
      <c r="A247" s="176" t="s">
        <v>104</v>
      </c>
      <c r="B247" s="177"/>
      <c r="C247" s="175" t="s">
        <v>25</v>
      </c>
      <c r="D247" s="175"/>
      <c r="E247" s="187"/>
      <c r="F247" s="187"/>
      <c r="G247" s="175" t="s">
        <v>27</v>
      </c>
      <c r="H247" s="175"/>
      <c r="I247" s="187"/>
      <c r="J247" s="187"/>
      <c r="K247" s="53"/>
    </row>
    <row r="248" spans="1:11" x14ac:dyDescent="0.25">
      <c r="A248" s="178"/>
      <c r="B248" s="179"/>
      <c r="C248" s="183" t="s">
        <v>98</v>
      </c>
      <c r="D248" s="184"/>
      <c r="E248" s="185" t="s">
        <v>99</v>
      </c>
      <c r="F248" s="186"/>
      <c r="G248" s="183" t="s">
        <v>98</v>
      </c>
      <c r="H248" s="184"/>
      <c r="I248" s="185" t="s">
        <v>99</v>
      </c>
      <c r="J248" s="186"/>
      <c r="K248" s="53"/>
    </row>
    <row r="249" spans="1:11" x14ac:dyDescent="0.25">
      <c r="A249" s="178"/>
      <c r="B249" s="179"/>
      <c r="C249" s="58">
        <f ca="1">MATCH(OFFSET(Породы!G3,MATCH(Анализ!C14,Результаты!H23:H26,0),0),Графики!$D$1:$D$30,1)-IF(Анализ!R25=1,1,0)</f>
        <v>1</v>
      </c>
      <c r="D249" s="58">
        <v>0</v>
      </c>
      <c r="E249" s="58">
        <f ca="1">IF(Анализ!R25=1,C249,C249-4)</f>
        <v>1</v>
      </c>
      <c r="F249" s="91">
        <v>0</v>
      </c>
      <c r="G249" s="58">
        <f ca="1">MATCH(OFFSET(Породы!G3,MATCH(Анализ!C14,Результаты!H23:H26,0),1),Графики!$D$1:$D$33,1)-1</f>
        <v>16</v>
      </c>
      <c r="H249" s="58">
        <v>0</v>
      </c>
      <c r="I249" s="58">
        <f ca="1">IF(Анализ!R25=4,G249,IF(G249&gt;=28,G249,G249+4))</f>
        <v>20</v>
      </c>
      <c r="J249" s="91">
        <v>0</v>
      </c>
      <c r="K249" s="53"/>
    </row>
    <row r="250" spans="1:11" x14ac:dyDescent="0.25">
      <c r="A250" s="180"/>
      <c r="B250" s="181"/>
      <c r="C250" s="58">
        <f ca="1">C249</f>
        <v>1</v>
      </c>
      <c r="D250" s="58">
        <f>Графики!E35</f>
        <v>8</v>
      </c>
      <c r="E250" s="58">
        <f ca="1">E249</f>
        <v>1</v>
      </c>
      <c r="F250" s="91">
        <f>D250</f>
        <v>8</v>
      </c>
      <c r="G250" s="58">
        <f ca="1">G249</f>
        <v>16</v>
      </c>
      <c r="H250" s="58">
        <f>F250</f>
        <v>8</v>
      </c>
      <c r="I250" s="58">
        <f ca="1">I249</f>
        <v>20</v>
      </c>
      <c r="J250" s="91">
        <f>H250</f>
        <v>8</v>
      </c>
      <c r="K250" s="53"/>
    </row>
    <row r="251" spans="1:11" x14ac:dyDescent="0.25">
      <c r="A251" s="53"/>
      <c r="B251" s="53"/>
      <c r="C251" s="53"/>
      <c r="D251" s="53"/>
      <c r="E251" s="53"/>
      <c r="F251" s="53"/>
      <c r="G251" s="53"/>
      <c r="H251" s="53"/>
      <c r="I251" s="53"/>
      <c r="J251" s="53"/>
      <c r="K251" s="53"/>
    </row>
    <row r="252" spans="1:11" x14ac:dyDescent="0.25">
      <c r="A252" s="53"/>
      <c r="B252" s="53"/>
      <c r="C252" s="53">
        <f ca="1">MATCH(OFFSET(Породы!E3,MATCH(Анализ!C14,Результаты!H23:H26,0),0),Графики!$G$1:$G$30,1)</f>
        <v>2</v>
      </c>
      <c r="D252" s="53"/>
      <c r="E252" s="53"/>
      <c r="F252" s="53"/>
      <c r="G252" s="53"/>
      <c r="H252" s="53"/>
      <c r="I252" s="53"/>
      <c r="J252" s="53"/>
      <c r="K252" s="53"/>
    </row>
    <row r="253" spans="1:11" x14ac:dyDescent="0.25">
      <c r="A253" s="53"/>
      <c r="B253" s="53"/>
      <c r="C253" s="53"/>
      <c r="D253" s="53"/>
      <c r="E253" s="53"/>
      <c r="F253" s="53"/>
      <c r="G253" s="53"/>
      <c r="H253" s="53"/>
      <c r="I253" s="53"/>
      <c r="J253" s="53"/>
      <c r="K253" s="53"/>
    </row>
    <row r="254" spans="1:11" x14ac:dyDescent="0.25">
      <c r="A254" s="53"/>
      <c r="B254" s="53"/>
      <c r="C254" s="53"/>
      <c r="D254" s="53"/>
      <c r="E254" s="53"/>
      <c r="F254" s="53"/>
      <c r="G254" s="53"/>
      <c r="H254" s="53"/>
      <c r="I254" s="53"/>
      <c r="J254" s="53"/>
      <c r="K254" s="53"/>
    </row>
    <row r="255" spans="1:11" x14ac:dyDescent="0.25">
      <c r="A255" s="53"/>
      <c r="B255" s="53"/>
      <c r="C255" s="53"/>
      <c r="D255" s="53"/>
      <c r="E255" s="53"/>
      <c r="F255" s="53"/>
      <c r="G255" s="53"/>
      <c r="H255" s="53"/>
      <c r="I255" s="53"/>
      <c r="J255" s="53"/>
      <c r="K255" s="53"/>
    </row>
    <row r="256" spans="1:11" x14ac:dyDescent="0.25">
      <c r="A256" s="53"/>
      <c r="B256" s="53"/>
      <c r="C256" s="53"/>
      <c r="D256" s="53"/>
      <c r="E256" s="53"/>
      <c r="F256" s="53"/>
      <c r="G256" s="53"/>
      <c r="H256" s="53"/>
      <c r="I256" s="53"/>
      <c r="J256" s="53"/>
      <c r="K256" s="53"/>
    </row>
    <row r="257" spans="1:11" x14ac:dyDescent="0.25">
      <c r="A257" s="53"/>
      <c r="B257" s="53"/>
      <c r="C257" s="53"/>
      <c r="D257" s="53"/>
      <c r="E257" s="53"/>
      <c r="F257" s="53"/>
      <c r="G257" s="53"/>
      <c r="H257" s="53"/>
      <c r="I257" s="53"/>
      <c r="J257" s="53"/>
      <c r="K257" s="53"/>
    </row>
    <row r="258" spans="1:11" x14ac:dyDescent="0.25">
      <c r="A258" s="53"/>
      <c r="B258" s="53"/>
      <c r="C258" s="53"/>
      <c r="D258" s="53"/>
      <c r="E258" s="53"/>
      <c r="F258" s="53"/>
      <c r="G258" s="53"/>
      <c r="H258" s="53"/>
      <c r="I258" s="53"/>
      <c r="J258" s="53"/>
      <c r="K258" s="53"/>
    </row>
    <row r="259" spans="1:11" x14ac:dyDescent="0.25">
      <c r="A259" s="53"/>
      <c r="B259" s="53"/>
      <c r="C259" s="53"/>
      <c r="D259" s="53"/>
      <c r="E259" s="53"/>
      <c r="F259" s="53"/>
      <c r="G259" s="53"/>
      <c r="H259" s="53"/>
      <c r="I259" s="53"/>
      <c r="J259" s="53"/>
      <c r="K259" s="53"/>
    </row>
    <row r="260" spans="1:11" x14ac:dyDescent="0.25">
      <c r="A260" s="53"/>
      <c r="B260" s="53"/>
      <c r="C260" s="53"/>
      <c r="D260" s="53"/>
      <c r="E260" s="53"/>
      <c r="F260" s="53"/>
      <c r="G260" s="53"/>
      <c r="H260" s="53"/>
      <c r="I260" s="53"/>
      <c r="J260" s="53"/>
      <c r="K260" s="53"/>
    </row>
    <row r="261" spans="1:11" x14ac:dyDescent="0.25">
      <c r="A261" s="53"/>
      <c r="B261" s="53"/>
      <c r="C261" s="53"/>
      <c r="D261" s="53"/>
      <c r="E261" s="53"/>
      <c r="F261" s="53"/>
      <c r="G261" s="53"/>
      <c r="H261" s="53"/>
      <c r="I261" s="53"/>
      <c r="J261" s="53"/>
      <c r="K261" s="53"/>
    </row>
    <row r="262" spans="1:11" x14ac:dyDescent="0.25">
      <c r="A262" s="53"/>
      <c r="B262" s="53"/>
      <c r="C262" s="53"/>
      <c r="D262" s="53"/>
      <c r="E262" s="53"/>
      <c r="F262" s="53"/>
      <c r="G262" s="53"/>
      <c r="H262" s="53"/>
      <c r="I262" s="53"/>
      <c r="J262" s="53"/>
      <c r="K262" s="53"/>
    </row>
    <row r="263" spans="1:11" x14ac:dyDescent="0.25">
      <c r="A263" s="53"/>
      <c r="B263" s="53"/>
      <c r="C263" s="53"/>
      <c r="D263" s="53"/>
      <c r="E263" s="53"/>
      <c r="F263" s="53"/>
      <c r="G263" s="53"/>
      <c r="H263" s="53"/>
      <c r="I263" s="53"/>
      <c r="J263" s="53"/>
      <c r="K263" s="53"/>
    </row>
  </sheetData>
  <sheetProtection password="C1AF" sheet="1" objects="1" scenarios="1"/>
  <mergeCells count="51">
    <mergeCell ref="A243:B246"/>
    <mergeCell ref="C243:F243"/>
    <mergeCell ref="G243:J243"/>
    <mergeCell ref="C244:D244"/>
    <mergeCell ref="E244:F244"/>
    <mergeCell ref="G244:H244"/>
    <mergeCell ref="I244:J244"/>
    <mergeCell ref="A247:B250"/>
    <mergeCell ref="C247:F247"/>
    <mergeCell ref="G247:J247"/>
    <mergeCell ref="C248:D248"/>
    <mergeCell ref="E248:F248"/>
    <mergeCell ref="G248:H248"/>
    <mergeCell ref="I248:J248"/>
    <mergeCell ref="O1:P1"/>
    <mergeCell ref="G208:H208"/>
    <mergeCell ref="B213:B214"/>
    <mergeCell ref="K1:L1"/>
    <mergeCell ref="I1:J1"/>
    <mergeCell ref="I208:J208"/>
    <mergeCell ref="A1:B1"/>
    <mergeCell ref="C1:D1"/>
    <mergeCell ref="C208:D208"/>
    <mergeCell ref="E208:F208"/>
    <mergeCell ref="A208:A218"/>
    <mergeCell ref="B217:B218"/>
    <mergeCell ref="A219:A228"/>
    <mergeCell ref="B219:B220"/>
    <mergeCell ref="B223:B224"/>
    <mergeCell ref="B227:B228"/>
    <mergeCell ref="M1:N1"/>
    <mergeCell ref="B215:B216"/>
    <mergeCell ref="E1:F1"/>
    <mergeCell ref="G1:H1"/>
    <mergeCell ref="B208:B210"/>
    <mergeCell ref="B211:B212"/>
    <mergeCell ref="B225:B226"/>
    <mergeCell ref="B221:B222"/>
    <mergeCell ref="G240:H240"/>
    <mergeCell ref="I240:J240"/>
    <mergeCell ref="C239:F239"/>
    <mergeCell ref="C240:D240"/>
    <mergeCell ref="E240:F240"/>
    <mergeCell ref="G239:J239"/>
    <mergeCell ref="B237:B238"/>
    <mergeCell ref="A239:B242"/>
    <mergeCell ref="A229:A238"/>
    <mergeCell ref="B235:B236"/>
    <mergeCell ref="B229:B230"/>
    <mergeCell ref="B231:B232"/>
    <mergeCell ref="B233:B234"/>
  </mergeCells>
  <phoneticPr fontId="6" type="noConversion"/>
  <conditionalFormatting sqref="A106:A204 E105:H204">
    <cfRule type="cellIs" dxfId="26" priority="1" stopIfTrue="1" operator="equal">
      <formula>0</formula>
    </cfRule>
  </conditionalFormatting>
  <conditionalFormatting sqref="B105:D204">
    <cfRule type="cellIs" dxfId="25" priority="2" stopIfTrue="1" operator="equal">
      <formula>0</formula>
    </cfRule>
  </conditionalFormatting>
  <pageMargins left="0.56000000000000005" right="0.63" top="0.55000000000000004" bottom="0.51" header="0.5" footer="0.5"/>
  <pageSetup paperSize="9" scale="64" fitToHeight="4" orientation="landscape"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9"/>
    <pageSetUpPr fitToPage="1"/>
  </sheetPr>
  <dimension ref="A1:K110"/>
  <sheetViews>
    <sheetView showGridLines="0" zoomScale="80" zoomScaleNormal="80" workbookViewId="0">
      <selection activeCell="A2" sqref="A2:D101"/>
    </sheetView>
  </sheetViews>
  <sheetFormatPr defaultRowHeight="13.2" x14ac:dyDescent="0.25"/>
  <cols>
    <col min="5" max="5" width="6.77734375" style="28" customWidth="1"/>
    <col min="8" max="8" width="14.33203125" customWidth="1"/>
    <col min="9" max="9" width="49.33203125" customWidth="1"/>
  </cols>
  <sheetData>
    <row r="1" spans="1:10" ht="13.05" customHeight="1" x14ac:dyDescent="0.25">
      <c r="A1" s="142" t="s">
        <v>13</v>
      </c>
      <c r="B1" s="143" t="s">
        <v>0</v>
      </c>
      <c r="C1" s="143" t="s">
        <v>1</v>
      </c>
      <c r="D1" s="143" t="s">
        <v>2</v>
      </c>
      <c r="E1" s="144" t="s">
        <v>66</v>
      </c>
      <c r="F1" s="193" t="s">
        <v>140</v>
      </c>
      <c r="G1" s="194"/>
      <c r="H1" s="194"/>
      <c r="I1" s="194"/>
      <c r="J1" s="195"/>
    </row>
    <row r="2" spans="1:10" ht="12.45" customHeight="1" x14ac:dyDescent="0.25">
      <c r="A2" s="145">
        <v>1</v>
      </c>
      <c r="B2" s="4">
        <v>1.2626070135193432</v>
      </c>
      <c r="C2" s="4">
        <v>-2.6684626069025401</v>
      </c>
      <c r="D2" s="4">
        <v>0.85631379086348691</v>
      </c>
      <c r="E2" s="146">
        <f>IF(A2&gt;0,1/B2*(0.0381*B2+0.9982),"")</f>
        <v>0.82868645272186059</v>
      </c>
      <c r="F2" s="196"/>
      <c r="G2" s="197"/>
      <c r="H2" s="197"/>
      <c r="I2" s="197"/>
      <c r="J2" s="198"/>
    </row>
    <row r="3" spans="1:10" ht="12.45" customHeight="1" x14ac:dyDescent="0.25">
      <c r="A3" s="145">
        <v>2</v>
      </c>
      <c r="B3" s="4">
        <v>1.4110486900645089</v>
      </c>
      <c r="C3" s="4">
        <v>-4.9316434441713071</v>
      </c>
      <c r="D3" s="4">
        <v>0.8237946668540852</v>
      </c>
      <c r="E3" s="146">
        <f t="shared" ref="E3:E66" si="0">IF(A3&gt;0,1/B3*(0.0381*B3+0.9982),"")</f>
        <v>0.74551711964196299</v>
      </c>
      <c r="F3" s="196"/>
      <c r="G3" s="197"/>
      <c r="H3" s="197"/>
      <c r="I3" s="197"/>
      <c r="J3" s="198"/>
    </row>
    <row r="4" spans="1:10" ht="12.45" customHeight="1" x14ac:dyDescent="0.25">
      <c r="A4" s="145">
        <v>3</v>
      </c>
      <c r="B4" s="4">
        <v>1.3970928948001387</v>
      </c>
      <c r="C4" s="4">
        <v>-4.8083127926878433</v>
      </c>
      <c r="D4" s="4">
        <v>0.80539681058715062</v>
      </c>
      <c r="E4" s="146">
        <f t="shared" si="0"/>
        <v>0.75258362790707467</v>
      </c>
      <c r="F4" s="196"/>
      <c r="G4" s="197"/>
      <c r="H4" s="197"/>
      <c r="I4" s="197"/>
      <c r="J4" s="198"/>
    </row>
    <row r="5" spans="1:10" ht="12.45" customHeight="1" x14ac:dyDescent="0.25">
      <c r="A5" s="145">
        <v>4</v>
      </c>
      <c r="B5" s="4">
        <v>1.5152208616653291</v>
      </c>
      <c r="C5" s="4">
        <v>-3.7636542221458091</v>
      </c>
      <c r="D5" s="4">
        <v>0.90698769183806183</v>
      </c>
      <c r="E5" s="146">
        <f t="shared" si="0"/>
        <v>0.69688184841179601</v>
      </c>
      <c r="F5" s="196"/>
      <c r="G5" s="197"/>
      <c r="H5" s="197"/>
      <c r="I5" s="197"/>
      <c r="J5" s="198"/>
    </row>
    <row r="6" spans="1:10" ht="12.45" customHeight="1" x14ac:dyDescent="0.25">
      <c r="A6" s="145">
        <v>5</v>
      </c>
      <c r="B6" s="4">
        <v>1.8090879062408518</v>
      </c>
      <c r="C6" s="4">
        <v>-4.6579397829616793</v>
      </c>
      <c r="D6" s="4">
        <v>0.88299957033836651</v>
      </c>
      <c r="E6" s="146">
        <f t="shared" si="0"/>
        <v>0.58986976008544789</v>
      </c>
      <c r="F6" s="196"/>
      <c r="G6" s="197"/>
      <c r="H6" s="197"/>
      <c r="I6" s="197"/>
      <c r="J6" s="198"/>
    </row>
    <row r="7" spans="1:10" ht="12.45" customHeight="1" x14ac:dyDescent="0.25">
      <c r="A7" s="145">
        <v>6</v>
      </c>
      <c r="B7" s="4">
        <v>1.4082701577665713</v>
      </c>
      <c r="C7" s="4">
        <v>-3.8726624621959367</v>
      </c>
      <c r="D7" s="4">
        <v>0.83826787677931225</v>
      </c>
      <c r="E7" s="146">
        <f t="shared" si="0"/>
        <v>0.74691286129295176</v>
      </c>
      <c r="F7" s="196"/>
      <c r="G7" s="197"/>
      <c r="H7" s="197"/>
      <c r="I7" s="197"/>
      <c r="J7" s="198"/>
    </row>
    <row r="8" spans="1:10" ht="12.45" customHeight="1" x14ac:dyDescent="0.25">
      <c r="A8" s="145">
        <v>7</v>
      </c>
      <c r="B8" s="4">
        <v>1.434152613613296</v>
      </c>
      <c r="C8" s="4">
        <v>-2.886617787206224</v>
      </c>
      <c r="D8" s="4">
        <v>0.91770721305868463</v>
      </c>
      <c r="E8" s="146">
        <f t="shared" si="0"/>
        <v>0.7341207655202544</v>
      </c>
      <c r="F8" s="196"/>
      <c r="G8" s="197"/>
      <c r="H8" s="197"/>
      <c r="I8" s="197"/>
      <c r="J8" s="198"/>
    </row>
    <row r="9" spans="1:10" ht="12.45" customHeight="1" x14ac:dyDescent="0.25">
      <c r="A9" s="145">
        <v>8</v>
      </c>
      <c r="B9" s="4">
        <v>1.457615984110074</v>
      </c>
      <c r="C9" s="4">
        <v>-4.8886031145664619</v>
      </c>
      <c r="D9" s="4">
        <v>0.86740475860341337</v>
      </c>
      <c r="E9" s="146">
        <f t="shared" si="0"/>
        <v>0.72291685909161896</v>
      </c>
      <c r="F9" s="196"/>
      <c r="G9" s="197"/>
      <c r="H9" s="197"/>
      <c r="I9" s="197"/>
      <c r="J9" s="198"/>
    </row>
    <row r="10" spans="1:10" ht="12.45" customHeight="1" x14ac:dyDescent="0.25">
      <c r="A10" s="145">
        <v>9</v>
      </c>
      <c r="B10" s="4">
        <v>1.3886551296096701</v>
      </c>
      <c r="C10" s="4">
        <v>-4.852979111591269</v>
      </c>
      <c r="D10" s="4">
        <v>0.86447517308111865</v>
      </c>
      <c r="E10" s="146">
        <f t="shared" si="0"/>
        <v>0.75692498304714362</v>
      </c>
      <c r="F10" s="196"/>
      <c r="G10" s="197"/>
      <c r="H10" s="197"/>
      <c r="I10" s="197"/>
      <c r="J10" s="198"/>
    </row>
    <row r="11" spans="1:10" ht="12.45" customHeight="1" x14ac:dyDescent="0.25">
      <c r="A11" s="145">
        <v>10</v>
      </c>
      <c r="B11" s="4">
        <v>1.5121630858581008</v>
      </c>
      <c r="C11" s="4">
        <v>-4.9864935974229718</v>
      </c>
      <c r="D11" s="4">
        <v>0.83966281247175023</v>
      </c>
      <c r="E11" s="146">
        <f t="shared" si="0"/>
        <v>0.69821398461929496</v>
      </c>
      <c r="F11" s="196"/>
      <c r="G11" s="197"/>
      <c r="H11" s="197"/>
      <c r="I11" s="197"/>
      <c r="J11" s="198"/>
    </row>
    <row r="12" spans="1:10" ht="12.45" customHeight="1" x14ac:dyDescent="0.25">
      <c r="A12" s="145">
        <v>11</v>
      </c>
      <c r="B12" s="4">
        <v>1.4282115105923434</v>
      </c>
      <c r="C12" s="4">
        <v>-1.8884006427466298</v>
      </c>
      <c r="D12" s="4">
        <v>0.90780211236216835</v>
      </c>
      <c r="E12" s="146">
        <f t="shared" si="0"/>
        <v>0.73701608672583896</v>
      </c>
      <c r="F12" s="196"/>
      <c r="G12" s="197"/>
      <c r="H12" s="197"/>
      <c r="I12" s="197"/>
      <c r="J12" s="198"/>
    </row>
    <row r="13" spans="1:10" ht="12.45" customHeight="1" x14ac:dyDescent="0.25">
      <c r="A13" s="145">
        <v>12</v>
      </c>
      <c r="B13" s="4">
        <v>1.4867666423160466</v>
      </c>
      <c r="C13" s="4">
        <v>-3.8855214414860804</v>
      </c>
      <c r="D13" s="4">
        <v>0.81670378727059412</v>
      </c>
      <c r="E13" s="146">
        <f t="shared" si="0"/>
        <v>0.70948982782464776</v>
      </c>
      <c r="F13" s="196"/>
      <c r="G13" s="197"/>
      <c r="H13" s="197"/>
      <c r="I13" s="197"/>
      <c r="J13" s="198"/>
    </row>
    <row r="14" spans="1:10" ht="12.45" customHeight="1" x14ac:dyDescent="0.25">
      <c r="A14" s="145">
        <v>13</v>
      </c>
      <c r="B14" s="4">
        <v>1.4243093464185492</v>
      </c>
      <c r="C14" s="4">
        <v>-6.0150370787342728</v>
      </c>
      <c r="D14" s="4">
        <v>0.78387965815955563</v>
      </c>
      <c r="E14" s="146">
        <f t="shared" si="0"/>
        <v>0.73893089920738875</v>
      </c>
      <c r="F14" s="196"/>
      <c r="G14" s="197"/>
      <c r="H14" s="197"/>
      <c r="I14" s="197"/>
      <c r="J14" s="198"/>
    </row>
    <row r="15" spans="1:10" ht="12.45" customHeight="1" x14ac:dyDescent="0.25">
      <c r="A15" s="145">
        <v>14</v>
      </c>
      <c r="B15" s="4">
        <v>1.6170842575913029</v>
      </c>
      <c r="C15" s="4">
        <v>-4.9263530812072149</v>
      </c>
      <c r="D15" s="4">
        <v>0.90855299859134342</v>
      </c>
      <c r="E15" s="146">
        <f t="shared" si="0"/>
        <v>0.65538385228785156</v>
      </c>
      <c r="F15" s="196"/>
      <c r="G15" s="197"/>
      <c r="H15" s="197"/>
      <c r="I15" s="197"/>
      <c r="J15" s="198"/>
    </row>
    <row r="16" spans="1:10" ht="12.45" customHeight="1" x14ac:dyDescent="0.25">
      <c r="A16" s="145">
        <v>15</v>
      </c>
      <c r="B16" s="4">
        <v>1.5963541551080593</v>
      </c>
      <c r="C16" s="4">
        <v>-3.6106317132264709</v>
      </c>
      <c r="D16" s="4">
        <v>0.81052363916299175</v>
      </c>
      <c r="E16" s="146">
        <f t="shared" si="0"/>
        <v>0.66339984139542674</v>
      </c>
      <c r="F16" s="196"/>
      <c r="G16" s="197"/>
      <c r="H16" s="197"/>
      <c r="I16" s="197"/>
      <c r="J16" s="198"/>
    </row>
    <row r="17" spans="1:10" ht="12.45" customHeight="1" x14ac:dyDescent="0.25">
      <c r="A17" s="145">
        <v>16</v>
      </c>
      <c r="B17" s="4">
        <v>1.4964911953946169</v>
      </c>
      <c r="C17" s="4">
        <v>-2.9216155333568046</v>
      </c>
      <c r="D17" s="4">
        <v>0.88641422566491623</v>
      </c>
      <c r="E17" s="146">
        <f t="shared" si="0"/>
        <v>0.70512697822206682</v>
      </c>
      <c r="F17" s="196"/>
      <c r="G17" s="197"/>
      <c r="H17" s="197"/>
      <c r="I17" s="197"/>
      <c r="J17" s="198"/>
    </row>
    <row r="18" spans="1:10" ht="12.45" customHeight="1" x14ac:dyDescent="0.25">
      <c r="A18" s="145">
        <v>17</v>
      </c>
      <c r="B18" s="4">
        <v>1.5213083464463475</v>
      </c>
      <c r="C18" s="4">
        <v>-4.3103198810945917</v>
      </c>
      <c r="D18" s="4">
        <v>0.82588245907720026</v>
      </c>
      <c r="E18" s="146">
        <f t="shared" si="0"/>
        <v>0.69424574608212331</v>
      </c>
      <c r="F18" s="196"/>
      <c r="G18" s="197"/>
      <c r="H18" s="197"/>
      <c r="I18" s="197"/>
      <c r="J18" s="198"/>
    </row>
    <row r="19" spans="1:10" ht="12.45" customHeight="1" x14ac:dyDescent="0.25">
      <c r="A19" s="145">
        <v>18</v>
      </c>
      <c r="B19" s="4">
        <v>1.3651878800254351</v>
      </c>
      <c r="C19" s="4">
        <v>-4.6048660800736227</v>
      </c>
      <c r="D19" s="4">
        <v>0.82430399518174657</v>
      </c>
      <c r="E19" s="146">
        <f t="shared" si="0"/>
        <v>0.76928141070912692</v>
      </c>
      <c r="F19" s="196"/>
      <c r="G19" s="197"/>
      <c r="H19" s="197"/>
      <c r="I19" s="197"/>
      <c r="J19" s="198"/>
    </row>
    <row r="20" spans="1:10" ht="12.45" customHeight="1" x14ac:dyDescent="0.25">
      <c r="A20" s="145">
        <v>19</v>
      </c>
      <c r="B20" s="4">
        <v>1.4202825916269763</v>
      </c>
      <c r="C20" s="4">
        <v>-3.4567376821430971</v>
      </c>
      <c r="D20" s="4">
        <v>0.8474675738635713</v>
      </c>
      <c r="E20" s="146">
        <f t="shared" si="0"/>
        <v>0.74091787996607905</v>
      </c>
      <c r="F20" s="196"/>
      <c r="G20" s="197"/>
      <c r="H20" s="197"/>
      <c r="I20" s="197"/>
      <c r="J20" s="198"/>
    </row>
    <row r="21" spans="1:10" ht="12.45" customHeight="1" x14ac:dyDescent="0.25">
      <c r="A21" s="145">
        <v>20</v>
      </c>
      <c r="B21" s="4">
        <v>1.3981872933510322</v>
      </c>
      <c r="C21" s="4">
        <v>-3.5408610476124687</v>
      </c>
      <c r="D21" s="4">
        <v>0.81845011257771183</v>
      </c>
      <c r="E21" s="146">
        <f t="shared" si="0"/>
        <v>0.75202438248213255</v>
      </c>
      <c r="F21" s="196"/>
      <c r="G21" s="197"/>
      <c r="H21" s="197"/>
      <c r="I21" s="197"/>
      <c r="J21" s="198"/>
    </row>
    <row r="22" spans="1:10" ht="12.45" customHeight="1" x14ac:dyDescent="0.25">
      <c r="A22" s="145">
        <v>21</v>
      </c>
      <c r="B22" s="4">
        <v>1.3397511506515163</v>
      </c>
      <c r="C22" s="4">
        <v>-4.4542031351921905</v>
      </c>
      <c r="D22" s="4">
        <v>0.7996103867123312</v>
      </c>
      <c r="E22" s="146">
        <f t="shared" si="0"/>
        <v>0.78316373778039206</v>
      </c>
      <c r="F22" s="196"/>
      <c r="G22" s="197"/>
      <c r="H22" s="197"/>
      <c r="I22" s="197"/>
      <c r="J22" s="198"/>
    </row>
    <row r="23" spans="1:10" ht="12.45" customHeight="1" x14ac:dyDescent="0.25">
      <c r="A23" s="145">
        <v>22</v>
      </c>
      <c r="B23" s="4">
        <v>1.3991932779235556</v>
      </c>
      <c r="C23" s="4">
        <v>-3.2562577411400477</v>
      </c>
      <c r="D23" s="4">
        <v>0.85563026884200899</v>
      </c>
      <c r="E23" s="146">
        <f t="shared" si="0"/>
        <v>0.7515110889107175</v>
      </c>
      <c r="F23" s="196"/>
      <c r="G23" s="197"/>
      <c r="H23" s="197"/>
      <c r="I23" s="197"/>
      <c r="J23" s="198"/>
    </row>
    <row r="24" spans="1:10" ht="12.45" customHeight="1" x14ac:dyDescent="0.25">
      <c r="A24" s="145">
        <v>23</v>
      </c>
      <c r="B24" s="4">
        <v>1.4383727883864668</v>
      </c>
      <c r="C24" s="4">
        <v>-3.9252765242877001</v>
      </c>
      <c r="D24" s="4">
        <v>0.78968048435824822</v>
      </c>
      <c r="E24" s="146">
        <f t="shared" si="0"/>
        <v>0.73207864591122984</v>
      </c>
      <c r="F24" s="199"/>
      <c r="G24" s="200"/>
      <c r="H24" s="200"/>
      <c r="I24" s="200"/>
      <c r="J24" s="201"/>
    </row>
    <row r="25" spans="1:10" ht="12.45" customHeight="1" x14ac:dyDescent="0.25">
      <c r="A25" s="145">
        <v>24</v>
      </c>
      <c r="B25" s="4">
        <v>1.4613188834353577</v>
      </c>
      <c r="C25" s="4">
        <v>-2.0638502119792119</v>
      </c>
      <c r="D25" s="4">
        <v>0.86744270740412355</v>
      </c>
      <c r="E25" s="146">
        <f t="shared" si="0"/>
        <v>0.72118157193820043</v>
      </c>
      <c r="F25" s="199"/>
      <c r="G25" s="200"/>
      <c r="H25" s="200"/>
      <c r="I25" s="200"/>
      <c r="J25" s="201"/>
    </row>
    <row r="26" spans="1:10" ht="12.45" customHeight="1" x14ac:dyDescent="0.25">
      <c r="A26" s="145">
        <v>25</v>
      </c>
      <c r="B26" s="4">
        <v>1.5122216033726252</v>
      </c>
      <c r="C26" s="4">
        <v>-4.5573537713311199</v>
      </c>
      <c r="D26" s="4">
        <v>0.80448031442260104</v>
      </c>
      <c r="E26" s="146">
        <f t="shared" si="0"/>
        <v>0.69818844059215202</v>
      </c>
      <c r="F26" s="199"/>
      <c r="G26" s="200"/>
      <c r="H26" s="200"/>
      <c r="I26" s="200"/>
      <c r="J26" s="201"/>
    </row>
    <row r="27" spans="1:10" ht="12.45" customHeight="1" thickBot="1" x14ac:dyDescent="0.3">
      <c r="A27" s="145">
        <v>26</v>
      </c>
      <c r="B27" s="4">
        <v>1.1265890995242667</v>
      </c>
      <c r="C27" s="4">
        <v>-6.6836737105143449</v>
      </c>
      <c r="D27" s="4">
        <v>0.7249616498777266</v>
      </c>
      <c r="E27" s="146">
        <f t="shared" si="0"/>
        <v>0.92413733199754666</v>
      </c>
      <c r="F27" s="202"/>
      <c r="G27" s="203"/>
      <c r="H27" s="203"/>
      <c r="I27" s="203"/>
      <c r="J27" s="204"/>
    </row>
    <row r="28" spans="1:10" ht="12.45" customHeight="1" x14ac:dyDescent="0.25">
      <c r="A28" s="145">
        <v>27</v>
      </c>
      <c r="B28" s="4">
        <v>1.3395313136677256</v>
      </c>
      <c r="C28" s="4">
        <v>-2.4694710723225199</v>
      </c>
      <c r="D28" s="4">
        <v>0.84969551009130739</v>
      </c>
      <c r="E28" s="146">
        <f t="shared" si="0"/>
        <v>0.78328601380572604</v>
      </c>
      <c r="F28" s="11"/>
      <c r="G28" s="11"/>
      <c r="H28" s="11"/>
      <c r="I28" s="11"/>
    </row>
    <row r="29" spans="1:10" ht="13.05" customHeight="1" x14ac:dyDescent="0.25">
      <c r="A29" s="145">
        <v>28</v>
      </c>
      <c r="B29" s="4">
        <v>1.3507880663566374</v>
      </c>
      <c r="C29" s="4">
        <v>-3.3210731431633951</v>
      </c>
      <c r="D29" s="4">
        <v>0.8883911740868019</v>
      </c>
      <c r="E29" s="146">
        <f t="shared" si="0"/>
        <v>0.77707602803995568</v>
      </c>
      <c r="F29" s="11"/>
      <c r="G29" s="11"/>
      <c r="H29" s="11"/>
      <c r="I29" s="11"/>
    </row>
    <row r="30" spans="1:10" x14ac:dyDescent="0.25">
      <c r="A30" s="145">
        <v>29</v>
      </c>
      <c r="B30" s="4">
        <v>1.4159465909295745</v>
      </c>
      <c r="C30" s="4">
        <v>-6.1821925596978904</v>
      </c>
      <c r="D30" s="4">
        <v>0.77202449817394792</v>
      </c>
      <c r="E30" s="146">
        <f t="shared" si="0"/>
        <v>0.74307009307722394</v>
      </c>
    </row>
    <row r="31" spans="1:10" x14ac:dyDescent="0.25">
      <c r="A31" s="145">
        <v>30</v>
      </c>
      <c r="B31" s="4">
        <v>1.2625144360472995</v>
      </c>
      <c r="C31" s="4">
        <v>-3.1323700105419423</v>
      </c>
      <c r="D31" s="4">
        <v>0.89251317755290194</v>
      </c>
      <c r="E31" s="146">
        <f t="shared" si="0"/>
        <v>0.82874442472846532</v>
      </c>
    </row>
    <row r="32" spans="1:10" x14ac:dyDescent="0.25">
      <c r="A32" s="145">
        <v>0</v>
      </c>
      <c r="B32" s="4" t="b">
        <v>0</v>
      </c>
      <c r="C32" s="4" t="b">
        <v>0</v>
      </c>
      <c r="D32" s="4" t="b">
        <v>0</v>
      </c>
      <c r="E32" s="146" t="str">
        <f t="shared" si="0"/>
        <v/>
      </c>
    </row>
    <row r="33" spans="1:5" x14ac:dyDescent="0.25">
      <c r="A33" s="145">
        <v>0</v>
      </c>
      <c r="B33" s="4" t="b">
        <v>0</v>
      </c>
      <c r="C33" s="4" t="b">
        <v>0</v>
      </c>
      <c r="D33" s="4" t="b">
        <v>0</v>
      </c>
      <c r="E33" s="146" t="str">
        <f t="shared" si="0"/>
        <v/>
      </c>
    </row>
    <row r="34" spans="1:5" x14ac:dyDescent="0.25">
      <c r="A34" s="145">
        <v>0</v>
      </c>
      <c r="B34" s="4" t="b">
        <v>0</v>
      </c>
      <c r="C34" s="4" t="b">
        <v>0</v>
      </c>
      <c r="D34" s="4" t="b">
        <v>0</v>
      </c>
      <c r="E34" s="146" t="str">
        <f t="shared" si="0"/>
        <v/>
      </c>
    </row>
    <row r="35" spans="1:5" x14ac:dyDescent="0.25">
      <c r="A35" s="145">
        <v>0</v>
      </c>
      <c r="B35" s="4" t="b">
        <v>0</v>
      </c>
      <c r="C35" s="4" t="b">
        <v>0</v>
      </c>
      <c r="D35" s="4" t="b">
        <v>0</v>
      </c>
      <c r="E35" s="146" t="str">
        <f t="shared" si="0"/>
        <v/>
      </c>
    </row>
    <row r="36" spans="1:5" x14ac:dyDescent="0.25">
      <c r="A36" s="145">
        <v>0</v>
      </c>
      <c r="B36" s="4" t="b">
        <v>0</v>
      </c>
      <c r="C36" s="4" t="b">
        <v>0</v>
      </c>
      <c r="D36" s="4" t="b">
        <v>0</v>
      </c>
      <c r="E36" s="146" t="str">
        <f t="shared" si="0"/>
        <v/>
      </c>
    </row>
    <row r="37" spans="1:5" x14ac:dyDescent="0.25">
      <c r="A37" s="145">
        <v>0</v>
      </c>
      <c r="B37" s="4" t="b">
        <v>0</v>
      </c>
      <c r="C37" s="4" t="b">
        <v>0</v>
      </c>
      <c r="D37" s="4" t="b">
        <v>0</v>
      </c>
      <c r="E37" s="146" t="str">
        <f t="shared" si="0"/>
        <v/>
      </c>
    </row>
    <row r="38" spans="1:5" x14ac:dyDescent="0.25">
      <c r="A38" s="145">
        <v>0</v>
      </c>
      <c r="B38" s="4" t="b">
        <v>0</v>
      </c>
      <c r="C38" s="4" t="b">
        <v>0</v>
      </c>
      <c r="D38" s="4" t="b">
        <v>0</v>
      </c>
      <c r="E38" s="146" t="str">
        <f t="shared" si="0"/>
        <v/>
      </c>
    </row>
    <row r="39" spans="1:5" x14ac:dyDescent="0.25">
      <c r="A39" s="145">
        <v>0</v>
      </c>
      <c r="B39" s="4" t="b">
        <v>0</v>
      </c>
      <c r="C39" s="4" t="b">
        <v>0</v>
      </c>
      <c r="D39" s="4" t="b">
        <v>0</v>
      </c>
      <c r="E39" s="146" t="str">
        <f t="shared" si="0"/>
        <v/>
      </c>
    </row>
    <row r="40" spans="1:5" x14ac:dyDescent="0.25">
      <c r="A40" s="145">
        <v>0</v>
      </c>
      <c r="B40" s="4" t="b">
        <v>0</v>
      </c>
      <c r="C40" s="4" t="b">
        <v>0</v>
      </c>
      <c r="D40" s="4" t="b">
        <v>0</v>
      </c>
      <c r="E40" s="146" t="str">
        <f t="shared" si="0"/>
        <v/>
      </c>
    </row>
    <row r="41" spans="1:5" x14ac:dyDescent="0.25">
      <c r="A41" s="145">
        <v>0</v>
      </c>
      <c r="B41" s="4" t="b">
        <v>0</v>
      </c>
      <c r="C41" s="4" t="b">
        <v>0</v>
      </c>
      <c r="D41" s="4" t="b">
        <v>0</v>
      </c>
      <c r="E41" s="146" t="str">
        <f t="shared" si="0"/>
        <v/>
      </c>
    </row>
    <row r="42" spans="1:5" x14ac:dyDescent="0.25">
      <c r="A42" s="145">
        <v>0</v>
      </c>
      <c r="B42" s="4" t="b">
        <v>0</v>
      </c>
      <c r="C42" s="4" t="b">
        <v>0</v>
      </c>
      <c r="D42" s="4" t="b">
        <v>0</v>
      </c>
      <c r="E42" s="146" t="str">
        <f t="shared" si="0"/>
        <v/>
      </c>
    </row>
    <row r="43" spans="1:5" x14ac:dyDescent="0.25">
      <c r="A43" s="145">
        <v>0</v>
      </c>
      <c r="B43" s="4" t="b">
        <v>0</v>
      </c>
      <c r="C43" s="4" t="b">
        <v>0</v>
      </c>
      <c r="D43" s="4" t="b">
        <v>0</v>
      </c>
      <c r="E43" s="146" t="str">
        <f t="shared" si="0"/>
        <v/>
      </c>
    </row>
    <row r="44" spans="1:5" x14ac:dyDescent="0.25">
      <c r="A44" s="145">
        <v>0</v>
      </c>
      <c r="B44" s="4" t="b">
        <v>0</v>
      </c>
      <c r="C44" s="4" t="b">
        <v>0</v>
      </c>
      <c r="D44" s="4" t="b">
        <v>0</v>
      </c>
      <c r="E44" s="146" t="str">
        <f t="shared" si="0"/>
        <v/>
      </c>
    </row>
    <row r="45" spans="1:5" x14ac:dyDescent="0.25">
      <c r="A45" s="145">
        <v>0</v>
      </c>
      <c r="B45" s="4" t="b">
        <v>0</v>
      </c>
      <c r="C45" s="4" t="b">
        <v>0</v>
      </c>
      <c r="D45" s="4" t="b">
        <v>0</v>
      </c>
      <c r="E45" s="146" t="str">
        <f t="shared" si="0"/>
        <v/>
      </c>
    </row>
    <row r="46" spans="1:5" x14ac:dyDescent="0.25">
      <c r="A46" s="145">
        <v>0</v>
      </c>
      <c r="B46" s="4" t="b">
        <v>0</v>
      </c>
      <c r="C46" s="4" t="b">
        <v>0</v>
      </c>
      <c r="D46" s="4" t="b">
        <v>0</v>
      </c>
      <c r="E46" s="146" t="str">
        <f t="shared" si="0"/>
        <v/>
      </c>
    </row>
    <row r="47" spans="1:5" x14ac:dyDescent="0.25">
      <c r="A47" s="145">
        <v>0</v>
      </c>
      <c r="B47" s="4" t="b">
        <v>0</v>
      </c>
      <c r="C47" s="4" t="b">
        <v>0</v>
      </c>
      <c r="D47" s="4" t="b">
        <v>0</v>
      </c>
      <c r="E47" s="146" t="str">
        <f t="shared" si="0"/>
        <v/>
      </c>
    </row>
    <row r="48" spans="1:5" x14ac:dyDescent="0.25">
      <c r="A48" s="145">
        <v>0</v>
      </c>
      <c r="B48" s="4" t="b">
        <v>0</v>
      </c>
      <c r="C48" s="4" t="b">
        <v>0</v>
      </c>
      <c r="D48" s="4" t="b">
        <v>0</v>
      </c>
      <c r="E48" s="146" t="str">
        <f t="shared" si="0"/>
        <v/>
      </c>
    </row>
    <row r="49" spans="1:5" x14ac:dyDescent="0.25">
      <c r="A49" s="145">
        <v>0</v>
      </c>
      <c r="B49" s="4" t="b">
        <v>0</v>
      </c>
      <c r="C49" s="4" t="b">
        <v>0</v>
      </c>
      <c r="D49" s="4" t="b">
        <v>0</v>
      </c>
      <c r="E49" s="146" t="str">
        <f t="shared" si="0"/>
        <v/>
      </c>
    </row>
    <row r="50" spans="1:5" x14ac:dyDescent="0.25">
      <c r="A50" s="145">
        <v>0</v>
      </c>
      <c r="B50" s="4" t="b">
        <v>0</v>
      </c>
      <c r="C50" s="4" t="b">
        <v>0</v>
      </c>
      <c r="D50" s="4" t="b">
        <v>0</v>
      </c>
      <c r="E50" s="146" t="str">
        <f t="shared" si="0"/>
        <v/>
      </c>
    </row>
    <row r="51" spans="1:5" x14ac:dyDescent="0.25">
      <c r="A51" s="145">
        <v>0</v>
      </c>
      <c r="B51" s="4" t="b">
        <v>0</v>
      </c>
      <c r="C51" s="4" t="b">
        <v>0</v>
      </c>
      <c r="D51" s="4" t="b">
        <v>0</v>
      </c>
      <c r="E51" s="146" t="str">
        <f t="shared" si="0"/>
        <v/>
      </c>
    </row>
    <row r="52" spans="1:5" x14ac:dyDescent="0.25">
      <c r="A52" s="145">
        <v>0</v>
      </c>
      <c r="B52" s="4" t="b">
        <v>0</v>
      </c>
      <c r="C52" s="4" t="b">
        <v>0</v>
      </c>
      <c r="D52" s="4" t="b">
        <v>0</v>
      </c>
      <c r="E52" s="146" t="str">
        <f t="shared" si="0"/>
        <v/>
      </c>
    </row>
    <row r="53" spans="1:5" x14ac:dyDescent="0.25">
      <c r="A53" s="145">
        <v>0</v>
      </c>
      <c r="B53" s="4" t="b">
        <v>0</v>
      </c>
      <c r="C53" s="4" t="b">
        <v>0</v>
      </c>
      <c r="D53" s="4" t="b">
        <v>0</v>
      </c>
      <c r="E53" s="146" t="str">
        <f t="shared" si="0"/>
        <v/>
      </c>
    </row>
    <row r="54" spans="1:5" x14ac:dyDescent="0.25">
      <c r="A54" s="145">
        <v>0</v>
      </c>
      <c r="B54" s="4" t="b">
        <v>0</v>
      </c>
      <c r="C54" s="4" t="b">
        <v>0</v>
      </c>
      <c r="D54" s="4" t="b">
        <v>0</v>
      </c>
      <c r="E54" s="146" t="str">
        <f t="shared" si="0"/>
        <v/>
      </c>
    </row>
    <row r="55" spans="1:5" x14ac:dyDescent="0.25">
      <c r="A55" s="145">
        <v>0</v>
      </c>
      <c r="B55" s="4" t="b">
        <v>0</v>
      </c>
      <c r="C55" s="4" t="b">
        <v>0</v>
      </c>
      <c r="D55" s="4" t="b">
        <v>0</v>
      </c>
      <c r="E55" s="146" t="str">
        <f t="shared" si="0"/>
        <v/>
      </c>
    </row>
    <row r="56" spans="1:5" x14ac:dyDescent="0.25">
      <c r="A56" s="145">
        <v>0</v>
      </c>
      <c r="B56" s="4" t="b">
        <v>0</v>
      </c>
      <c r="C56" s="4" t="b">
        <v>0</v>
      </c>
      <c r="D56" s="4" t="b">
        <v>0</v>
      </c>
      <c r="E56" s="146" t="str">
        <f t="shared" si="0"/>
        <v/>
      </c>
    </row>
    <row r="57" spans="1:5" x14ac:dyDescent="0.25">
      <c r="A57" s="145">
        <v>0</v>
      </c>
      <c r="B57" s="4" t="b">
        <v>0</v>
      </c>
      <c r="C57" s="4" t="b">
        <v>0</v>
      </c>
      <c r="D57" s="4" t="b">
        <v>0</v>
      </c>
      <c r="E57" s="146" t="str">
        <f t="shared" si="0"/>
        <v/>
      </c>
    </row>
    <row r="58" spans="1:5" x14ac:dyDescent="0.25">
      <c r="A58" s="145">
        <v>0</v>
      </c>
      <c r="B58" s="4" t="b">
        <v>0</v>
      </c>
      <c r="C58" s="4" t="b">
        <v>0</v>
      </c>
      <c r="D58" s="4" t="b">
        <v>0</v>
      </c>
      <c r="E58" s="146" t="str">
        <f t="shared" si="0"/>
        <v/>
      </c>
    </row>
    <row r="59" spans="1:5" x14ac:dyDescent="0.25">
      <c r="A59" s="145">
        <v>0</v>
      </c>
      <c r="B59" s="4" t="b">
        <v>0</v>
      </c>
      <c r="C59" s="4" t="b">
        <v>0</v>
      </c>
      <c r="D59" s="4" t="b">
        <v>0</v>
      </c>
      <c r="E59" s="146" t="str">
        <f t="shared" si="0"/>
        <v/>
      </c>
    </row>
    <row r="60" spans="1:5" x14ac:dyDescent="0.25">
      <c r="A60" s="145">
        <v>0</v>
      </c>
      <c r="B60" s="4" t="b">
        <v>0</v>
      </c>
      <c r="C60" s="4" t="b">
        <v>0</v>
      </c>
      <c r="D60" s="4" t="b">
        <v>0</v>
      </c>
      <c r="E60" s="146" t="str">
        <f t="shared" si="0"/>
        <v/>
      </c>
    </row>
    <row r="61" spans="1:5" x14ac:dyDescent="0.25">
      <c r="A61" s="145">
        <v>0</v>
      </c>
      <c r="B61" s="4" t="b">
        <v>0</v>
      </c>
      <c r="C61" s="4" t="b">
        <v>0</v>
      </c>
      <c r="D61" s="4" t="b">
        <v>0</v>
      </c>
      <c r="E61" s="146" t="str">
        <f t="shared" si="0"/>
        <v/>
      </c>
    </row>
    <row r="62" spans="1:5" x14ac:dyDescent="0.25">
      <c r="A62" s="145">
        <v>0</v>
      </c>
      <c r="B62" s="4" t="b">
        <v>0</v>
      </c>
      <c r="C62" s="4" t="b">
        <v>0</v>
      </c>
      <c r="D62" s="4" t="b">
        <v>0</v>
      </c>
      <c r="E62" s="146" t="str">
        <f t="shared" si="0"/>
        <v/>
      </c>
    </row>
    <row r="63" spans="1:5" x14ac:dyDescent="0.25">
      <c r="A63" s="145">
        <v>0</v>
      </c>
      <c r="B63" s="4" t="b">
        <v>0</v>
      </c>
      <c r="C63" s="4" t="b">
        <v>0</v>
      </c>
      <c r="D63" s="4" t="b">
        <v>0</v>
      </c>
      <c r="E63" s="146" t="str">
        <f t="shared" si="0"/>
        <v/>
      </c>
    </row>
    <row r="64" spans="1:5" x14ac:dyDescent="0.25">
      <c r="A64" s="145">
        <v>0</v>
      </c>
      <c r="B64" s="4" t="b">
        <v>0</v>
      </c>
      <c r="C64" s="4" t="b">
        <v>0</v>
      </c>
      <c r="D64" s="4" t="b">
        <v>0</v>
      </c>
      <c r="E64" s="146" t="str">
        <f t="shared" si="0"/>
        <v/>
      </c>
    </row>
    <row r="65" spans="1:5" x14ac:dyDescent="0.25">
      <c r="A65" s="145">
        <v>0</v>
      </c>
      <c r="B65" s="4" t="b">
        <v>0</v>
      </c>
      <c r="C65" s="4" t="b">
        <v>0</v>
      </c>
      <c r="D65" s="4" t="b">
        <v>0</v>
      </c>
      <c r="E65" s="146" t="str">
        <f t="shared" si="0"/>
        <v/>
      </c>
    </row>
    <row r="66" spans="1:5" x14ac:dyDescent="0.25">
      <c r="A66" s="145">
        <v>0</v>
      </c>
      <c r="B66" s="4" t="b">
        <v>0</v>
      </c>
      <c r="C66" s="4" t="b">
        <v>0</v>
      </c>
      <c r="D66" s="4" t="b">
        <v>0</v>
      </c>
      <c r="E66" s="146" t="str">
        <f t="shared" si="0"/>
        <v/>
      </c>
    </row>
    <row r="67" spans="1:5" x14ac:dyDescent="0.25">
      <c r="A67" s="145">
        <v>0</v>
      </c>
      <c r="B67" s="4" t="b">
        <v>0</v>
      </c>
      <c r="C67" s="4" t="b">
        <v>0</v>
      </c>
      <c r="D67" s="4" t="b">
        <v>0</v>
      </c>
      <c r="E67" s="146" t="str">
        <f t="shared" ref="E67:E101" si="1">IF(A67&gt;0,1/B67*(0.0381*B67+0.9982),"")</f>
        <v/>
      </c>
    </row>
    <row r="68" spans="1:5" x14ac:dyDescent="0.25">
      <c r="A68" s="145">
        <v>0</v>
      </c>
      <c r="B68" s="4" t="b">
        <v>0</v>
      </c>
      <c r="C68" s="4" t="b">
        <v>0</v>
      </c>
      <c r="D68" s="4" t="b">
        <v>0</v>
      </c>
      <c r="E68" s="146" t="str">
        <f t="shared" si="1"/>
        <v/>
      </c>
    </row>
    <row r="69" spans="1:5" x14ac:dyDescent="0.25">
      <c r="A69" s="145">
        <v>0</v>
      </c>
      <c r="B69" s="4" t="b">
        <v>0</v>
      </c>
      <c r="C69" s="4" t="b">
        <v>0</v>
      </c>
      <c r="D69" s="4" t="b">
        <v>0</v>
      </c>
      <c r="E69" s="146" t="str">
        <f t="shared" si="1"/>
        <v/>
      </c>
    </row>
    <row r="70" spans="1:5" x14ac:dyDescent="0.25">
      <c r="A70" s="145">
        <v>0</v>
      </c>
      <c r="B70" s="4" t="b">
        <v>0</v>
      </c>
      <c r="C70" s="4" t="b">
        <v>0</v>
      </c>
      <c r="D70" s="4" t="b">
        <v>0</v>
      </c>
      <c r="E70" s="146" t="str">
        <f t="shared" si="1"/>
        <v/>
      </c>
    </row>
    <row r="71" spans="1:5" x14ac:dyDescent="0.25">
      <c r="A71" s="145">
        <v>0</v>
      </c>
      <c r="B71" s="4" t="b">
        <v>0</v>
      </c>
      <c r="C71" s="4" t="b">
        <v>0</v>
      </c>
      <c r="D71" s="4" t="b">
        <v>0</v>
      </c>
      <c r="E71" s="146" t="str">
        <f t="shared" si="1"/>
        <v/>
      </c>
    </row>
    <row r="72" spans="1:5" x14ac:dyDescent="0.25">
      <c r="A72" s="145">
        <v>0</v>
      </c>
      <c r="B72" s="4" t="b">
        <v>0</v>
      </c>
      <c r="C72" s="4" t="b">
        <v>0</v>
      </c>
      <c r="D72" s="4" t="b">
        <v>0</v>
      </c>
      <c r="E72" s="146" t="str">
        <f t="shared" si="1"/>
        <v/>
      </c>
    </row>
    <row r="73" spans="1:5" x14ac:dyDescent="0.25">
      <c r="A73" s="145">
        <v>0</v>
      </c>
      <c r="B73" s="4" t="b">
        <v>0</v>
      </c>
      <c r="C73" s="4" t="b">
        <v>0</v>
      </c>
      <c r="D73" s="4" t="b">
        <v>0</v>
      </c>
      <c r="E73" s="146" t="str">
        <f t="shared" si="1"/>
        <v/>
      </c>
    </row>
    <row r="74" spans="1:5" x14ac:dyDescent="0.25">
      <c r="A74" s="145">
        <v>0</v>
      </c>
      <c r="B74" s="4" t="b">
        <v>0</v>
      </c>
      <c r="C74" s="4" t="b">
        <v>0</v>
      </c>
      <c r="D74" s="4" t="b">
        <v>0</v>
      </c>
      <c r="E74" s="146" t="str">
        <f t="shared" si="1"/>
        <v/>
      </c>
    </row>
    <row r="75" spans="1:5" x14ac:dyDescent="0.25">
      <c r="A75" s="145">
        <v>0</v>
      </c>
      <c r="B75" s="4" t="b">
        <v>0</v>
      </c>
      <c r="C75" s="4" t="b">
        <v>0</v>
      </c>
      <c r="D75" s="4" t="b">
        <v>0</v>
      </c>
      <c r="E75" s="146" t="str">
        <f t="shared" si="1"/>
        <v/>
      </c>
    </row>
    <row r="76" spans="1:5" x14ac:dyDescent="0.25">
      <c r="A76" s="145">
        <v>0</v>
      </c>
      <c r="B76" s="4" t="b">
        <v>0</v>
      </c>
      <c r="C76" s="4" t="b">
        <v>0</v>
      </c>
      <c r="D76" s="4" t="b">
        <v>0</v>
      </c>
      <c r="E76" s="146" t="str">
        <f t="shared" si="1"/>
        <v/>
      </c>
    </row>
    <row r="77" spans="1:5" x14ac:dyDescent="0.25">
      <c r="A77" s="145">
        <v>0</v>
      </c>
      <c r="B77" s="4" t="b">
        <v>0</v>
      </c>
      <c r="C77" s="4" t="b">
        <v>0</v>
      </c>
      <c r="D77" s="4" t="b">
        <v>0</v>
      </c>
      <c r="E77" s="146" t="str">
        <f t="shared" si="1"/>
        <v/>
      </c>
    </row>
    <row r="78" spans="1:5" x14ac:dyDescent="0.25">
      <c r="A78" s="145">
        <v>0</v>
      </c>
      <c r="B78" s="4" t="b">
        <v>0</v>
      </c>
      <c r="C78" s="4" t="b">
        <v>0</v>
      </c>
      <c r="D78" s="4" t="b">
        <v>0</v>
      </c>
      <c r="E78" s="146" t="str">
        <f t="shared" si="1"/>
        <v/>
      </c>
    </row>
    <row r="79" spans="1:5" x14ac:dyDescent="0.25">
      <c r="A79" s="145">
        <v>0</v>
      </c>
      <c r="B79" s="4" t="b">
        <v>0</v>
      </c>
      <c r="C79" s="4" t="b">
        <v>0</v>
      </c>
      <c r="D79" s="4" t="b">
        <v>0</v>
      </c>
      <c r="E79" s="146" t="str">
        <f t="shared" si="1"/>
        <v/>
      </c>
    </row>
    <row r="80" spans="1:5" x14ac:dyDescent="0.25">
      <c r="A80" s="145">
        <v>0</v>
      </c>
      <c r="B80" s="4" t="b">
        <v>0</v>
      </c>
      <c r="C80" s="4" t="b">
        <v>0</v>
      </c>
      <c r="D80" s="4" t="b">
        <v>0</v>
      </c>
      <c r="E80" s="146" t="str">
        <f t="shared" si="1"/>
        <v/>
      </c>
    </row>
    <row r="81" spans="1:5" x14ac:dyDescent="0.25">
      <c r="A81" s="145">
        <v>0</v>
      </c>
      <c r="B81" s="4" t="b">
        <v>0</v>
      </c>
      <c r="C81" s="4" t="b">
        <v>0</v>
      </c>
      <c r="D81" s="4" t="b">
        <v>0</v>
      </c>
      <c r="E81" s="146" t="str">
        <f t="shared" si="1"/>
        <v/>
      </c>
    </row>
    <row r="82" spans="1:5" x14ac:dyDescent="0.25">
      <c r="A82" s="145">
        <v>0</v>
      </c>
      <c r="B82" s="4" t="b">
        <v>0</v>
      </c>
      <c r="C82" s="4" t="b">
        <v>0</v>
      </c>
      <c r="D82" s="4" t="b">
        <v>0</v>
      </c>
      <c r="E82" s="146" t="str">
        <f t="shared" si="1"/>
        <v/>
      </c>
    </row>
    <row r="83" spans="1:5" x14ac:dyDescent="0.25">
      <c r="A83" s="145">
        <v>0</v>
      </c>
      <c r="B83" s="4" t="b">
        <v>0</v>
      </c>
      <c r="C83" s="4" t="b">
        <v>0</v>
      </c>
      <c r="D83" s="4" t="b">
        <v>0</v>
      </c>
      <c r="E83" s="146" t="str">
        <f t="shared" si="1"/>
        <v/>
      </c>
    </row>
    <row r="84" spans="1:5" x14ac:dyDescent="0.25">
      <c r="A84" s="145">
        <v>0</v>
      </c>
      <c r="B84" s="4" t="b">
        <v>0</v>
      </c>
      <c r="C84" s="4" t="b">
        <v>0</v>
      </c>
      <c r="D84" s="4" t="b">
        <v>0</v>
      </c>
      <c r="E84" s="146" t="str">
        <f t="shared" si="1"/>
        <v/>
      </c>
    </row>
    <row r="85" spans="1:5" x14ac:dyDescent="0.25">
      <c r="A85" s="145">
        <v>0</v>
      </c>
      <c r="B85" s="4" t="b">
        <v>0</v>
      </c>
      <c r="C85" s="4" t="b">
        <v>0</v>
      </c>
      <c r="D85" s="4" t="b">
        <v>0</v>
      </c>
      <c r="E85" s="146" t="str">
        <f t="shared" si="1"/>
        <v/>
      </c>
    </row>
    <row r="86" spans="1:5" x14ac:dyDescent="0.25">
      <c r="A86" s="145">
        <v>0</v>
      </c>
      <c r="B86" s="4" t="b">
        <v>0</v>
      </c>
      <c r="C86" s="4" t="b">
        <v>0</v>
      </c>
      <c r="D86" s="4" t="b">
        <v>0</v>
      </c>
      <c r="E86" s="146" t="str">
        <f t="shared" si="1"/>
        <v/>
      </c>
    </row>
    <row r="87" spans="1:5" x14ac:dyDescent="0.25">
      <c r="A87" s="145">
        <v>0</v>
      </c>
      <c r="B87" s="4" t="b">
        <v>0</v>
      </c>
      <c r="C87" s="4" t="b">
        <v>0</v>
      </c>
      <c r="D87" s="4" t="b">
        <v>0</v>
      </c>
      <c r="E87" s="146" t="str">
        <f t="shared" si="1"/>
        <v/>
      </c>
    </row>
    <row r="88" spans="1:5" x14ac:dyDescent="0.25">
      <c r="A88" s="145">
        <v>0</v>
      </c>
      <c r="B88" s="4" t="b">
        <v>0</v>
      </c>
      <c r="C88" s="4" t="b">
        <v>0</v>
      </c>
      <c r="D88" s="4" t="b">
        <v>0</v>
      </c>
      <c r="E88" s="146" t="str">
        <f t="shared" si="1"/>
        <v/>
      </c>
    </row>
    <row r="89" spans="1:5" x14ac:dyDescent="0.25">
      <c r="A89" s="145">
        <v>0</v>
      </c>
      <c r="B89" s="4" t="b">
        <v>0</v>
      </c>
      <c r="C89" s="4" t="b">
        <v>0</v>
      </c>
      <c r="D89" s="4" t="b">
        <v>0</v>
      </c>
      <c r="E89" s="146" t="str">
        <f t="shared" si="1"/>
        <v/>
      </c>
    </row>
    <row r="90" spans="1:5" x14ac:dyDescent="0.25">
      <c r="A90" s="145">
        <v>0</v>
      </c>
      <c r="B90" s="4" t="b">
        <v>0</v>
      </c>
      <c r="C90" s="4" t="b">
        <v>0</v>
      </c>
      <c r="D90" s="4" t="b">
        <v>0</v>
      </c>
      <c r="E90" s="146" t="str">
        <f t="shared" si="1"/>
        <v/>
      </c>
    </row>
    <row r="91" spans="1:5" x14ac:dyDescent="0.25">
      <c r="A91" s="145">
        <v>0</v>
      </c>
      <c r="B91" s="4" t="b">
        <v>0</v>
      </c>
      <c r="C91" s="4" t="b">
        <v>0</v>
      </c>
      <c r="D91" s="4" t="b">
        <v>0</v>
      </c>
      <c r="E91" s="146" t="str">
        <f t="shared" si="1"/>
        <v/>
      </c>
    </row>
    <row r="92" spans="1:5" x14ac:dyDescent="0.25">
      <c r="A92" s="145">
        <v>0</v>
      </c>
      <c r="B92" s="4" t="b">
        <v>0</v>
      </c>
      <c r="C92" s="4" t="b">
        <v>0</v>
      </c>
      <c r="D92" s="4" t="b">
        <v>0</v>
      </c>
      <c r="E92" s="146" t="str">
        <f t="shared" si="1"/>
        <v/>
      </c>
    </row>
    <row r="93" spans="1:5" x14ac:dyDescent="0.25">
      <c r="A93" s="145">
        <v>0</v>
      </c>
      <c r="B93" s="4" t="b">
        <v>0</v>
      </c>
      <c r="C93" s="4" t="b">
        <v>0</v>
      </c>
      <c r="D93" s="4" t="b">
        <v>0</v>
      </c>
      <c r="E93" s="146" t="str">
        <f t="shared" si="1"/>
        <v/>
      </c>
    </row>
    <row r="94" spans="1:5" x14ac:dyDescent="0.25">
      <c r="A94" s="145">
        <v>0</v>
      </c>
      <c r="B94" s="4" t="b">
        <v>0</v>
      </c>
      <c r="C94" s="4" t="b">
        <v>0</v>
      </c>
      <c r="D94" s="4" t="b">
        <v>0</v>
      </c>
      <c r="E94" s="146" t="str">
        <f t="shared" si="1"/>
        <v/>
      </c>
    </row>
    <row r="95" spans="1:5" x14ac:dyDescent="0.25">
      <c r="A95" s="145">
        <v>0</v>
      </c>
      <c r="B95" s="4" t="b">
        <v>0</v>
      </c>
      <c r="C95" s="4" t="b">
        <v>0</v>
      </c>
      <c r="D95" s="4" t="b">
        <v>0</v>
      </c>
      <c r="E95" s="146" t="str">
        <f t="shared" si="1"/>
        <v/>
      </c>
    </row>
    <row r="96" spans="1:5" x14ac:dyDescent="0.25">
      <c r="A96" s="145">
        <v>0</v>
      </c>
      <c r="B96" s="4" t="b">
        <v>0</v>
      </c>
      <c r="C96" s="4" t="b">
        <v>0</v>
      </c>
      <c r="D96" s="4" t="b">
        <v>0</v>
      </c>
      <c r="E96" s="146" t="str">
        <f t="shared" si="1"/>
        <v/>
      </c>
    </row>
    <row r="97" spans="1:11" x14ac:dyDescent="0.25">
      <c r="A97" s="145">
        <v>0</v>
      </c>
      <c r="B97" s="4" t="b">
        <v>0</v>
      </c>
      <c r="C97" s="4" t="b">
        <v>0</v>
      </c>
      <c r="D97" s="4" t="b">
        <v>0</v>
      </c>
      <c r="E97" s="146" t="str">
        <f t="shared" si="1"/>
        <v/>
      </c>
    </row>
    <row r="98" spans="1:11" x14ac:dyDescent="0.25">
      <c r="A98" s="145">
        <v>0</v>
      </c>
      <c r="B98" s="4" t="b">
        <v>0</v>
      </c>
      <c r="C98" s="4" t="b">
        <v>0</v>
      </c>
      <c r="D98" s="4" t="b">
        <v>0</v>
      </c>
      <c r="E98" s="146" t="str">
        <f t="shared" si="1"/>
        <v/>
      </c>
    </row>
    <row r="99" spans="1:11" x14ac:dyDescent="0.25">
      <c r="A99" s="145">
        <v>0</v>
      </c>
      <c r="B99" s="4" t="b">
        <v>0</v>
      </c>
      <c r="C99" s="4" t="b">
        <v>0</v>
      </c>
      <c r="D99" s="4" t="b">
        <v>0</v>
      </c>
      <c r="E99" s="146" t="str">
        <f t="shared" si="1"/>
        <v/>
      </c>
    </row>
    <row r="100" spans="1:11" x14ac:dyDescent="0.25">
      <c r="A100" s="145">
        <v>0</v>
      </c>
      <c r="B100" s="4" t="b">
        <v>0</v>
      </c>
      <c r="C100" s="4" t="b">
        <v>0</v>
      </c>
      <c r="D100" s="4" t="b">
        <v>0</v>
      </c>
      <c r="E100" s="146" t="str">
        <f t="shared" si="1"/>
        <v/>
      </c>
    </row>
    <row r="101" spans="1:11" ht="13.8" thickBot="1" x14ac:dyDescent="0.3">
      <c r="A101" s="154">
        <v>0</v>
      </c>
      <c r="B101" s="155" t="b">
        <v>0</v>
      </c>
      <c r="C101" s="155" t="b">
        <v>0</v>
      </c>
      <c r="D101" s="155" t="b">
        <v>0</v>
      </c>
      <c r="E101" s="170" t="str">
        <f t="shared" si="1"/>
        <v/>
      </c>
      <c r="F101" s="205"/>
      <c r="G101" s="205"/>
      <c r="H101" s="205"/>
    </row>
    <row r="102" spans="1:11" x14ac:dyDescent="0.25">
      <c r="A102" s="156" t="s">
        <v>17</v>
      </c>
      <c r="B102" s="157">
        <f>AVERAGE($B$2:$B$101)</f>
        <v>1.4332108255471205</v>
      </c>
      <c r="C102" s="157">
        <f>AVERAGE($C$2:$C$101)</f>
        <v>-4.0507811661234552</v>
      </c>
      <c r="D102" s="157">
        <f>AVERAGE($D$2:$D$101)</f>
        <v>0.8425807032636411</v>
      </c>
      <c r="E102" s="37">
        <f>AVERAGE(E2:E101)</f>
        <v>0.73936275146745656</v>
      </c>
    </row>
    <row r="103" spans="1:11" x14ac:dyDescent="0.25">
      <c r="A103" s="147" t="s">
        <v>18</v>
      </c>
      <c r="B103" s="26">
        <f>ROUND(STDEV(B2:B101),3)</f>
        <v>0.121</v>
      </c>
      <c r="C103" s="26">
        <f>ROUND(STDEV(C2:C101),3)</f>
        <v>1.167</v>
      </c>
      <c r="D103" s="26">
        <f>ROUND(STDEV(D2:D101),3)</f>
        <v>4.5999999999999999E-2</v>
      </c>
      <c r="E103" s="115">
        <f>ROUND(STDEV(E2:E101),3)</f>
        <v>5.8999999999999997E-2</v>
      </c>
      <c r="F103" s="13"/>
      <c r="G103" s="12"/>
      <c r="H103" s="13"/>
    </row>
    <row r="104" spans="1:11" ht="15.6" x14ac:dyDescent="0.25">
      <c r="A104" s="147" t="s">
        <v>67</v>
      </c>
      <c r="B104" s="37">
        <f>ROUND($B$103/$B$102,3)</f>
        <v>8.4000000000000005E-2</v>
      </c>
      <c r="C104" s="37">
        <f>ABS(ROUND($C$103/$C$102,3))</f>
        <v>0.28799999999999998</v>
      </c>
      <c r="D104" s="37">
        <f>ROUND($D$103/$D$102,3)</f>
        <v>5.5E-2</v>
      </c>
      <c r="E104" s="115">
        <f>ROUND(E103/E102,3)</f>
        <v>0.08</v>
      </c>
      <c r="F104" s="13"/>
      <c r="G104" s="12"/>
      <c r="H104" s="13"/>
    </row>
    <row r="105" spans="1:11" x14ac:dyDescent="0.25">
      <c r="A105" s="149" t="s">
        <v>22</v>
      </c>
      <c r="B105" s="26">
        <f>MIN(B2:B101)</f>
        <v>1.1265890995242667</v>
      </c>
      <c r="C105" s="26">
        <f>MIN(C2:C101)</f>
        <v>-6.6836737105143449</v>
      </c>
      <c r="D105" s="26">
        <f>MIN(D2:D101)</f>
        <v>0.7249616498777266</v>
      </c>
      <c r="E105" s="115">
        <f>MIN(E2:E101)</f>
        <v>0.58986976008544789</v>
      </c>
      <c r="F105" s="14"/>
      <c r="G105" s="15"/>
      <c r="H105" s="16"/>
    </row>
    <row r="106" spans="1:11" ht="13.8" thickBot="1" x14ac:dyDescent="0.3">
      <c r="A106" s="151" t="s">
        <v>23</v>
      </c>
      <c r="B106" s="152">
        <f>MAX(B2:B101)</f>
        <v>1.8090879062408518</v>
      </c>
      <c r="C106" s="152">
        <f>MAX(C2:C101)</f>
        <v>-1.8884006427466298</v>
      </c>
      <c r="D106" s="152">
        <f>MAX(D2:D101)</f>
        <v>0.91770721305868463</v>
      </c>
      <c r="E106" s="148">
        <f>MAX(E2:E101)</f>
        <v>0.92413733199754666</v>
      </c>
      <c r="F106" s="189"/>
      <c r="G106" s="189"/>
      <c r="H106" s="189"/>
      <c r="I106" s="189"/>
      <c r="J106" s="189"/>
      <c r="K106" s="189"/>
    </row>
    <row r="107" spans="1:11" x14ac:dyDescent="0.25">
      <c r="A107" s="190" t="s">
        <v>24</v>
      </c>
      <c r="B107" s="191"/>
      <c r="C107" s="191"/>
      <c r="D107" s="192"/>
    </row>
    <row r="108" spans="1:11" x14ac:dyDescent="0.25">
      <c r="A108" s="149" t="s">
        <v>22</v>
      </c>
      <c r="B108" s="26">
        <f>B102-B103*1.96</f>
        <v>1.1960508255471205</v>
      </c>
      <c r="C108" s="26">
        <f>C102-C103*1.96</f>
        <v>-6.3381011661234554</v>
      </c>
      <c r="D108" s="150">
        <f>D102-D103*1.96</f>
        <v>0.75242070326364108</v>
      </c>
    </row>
    <row r="109" spans="1:11" ht="13.8" thickBot="1" x14ac:dyDescent="0.3">
      <c r="A109" s="151" t="s">
        <v>23</v>
      </c>
      <c r="B109" s="152">
        <f>B102+B103*1.96</f>
        <v>1.6703708255471206</v>
      </c>
      <c r="C109" s="152">
        <f>C102+C103*1.96</f>
        <v>-1.7634611661234549</v>
      </c>
      <c r="D109" s="153">
        <f>D102+D103*1.96</f>
        <v>0.93274070326364111</v>
      </c>
    </row>
    <row r="110" spans="1:11" ht="13.8" thickBot="1" x14ac:dyDescent="0.3">
      <c r="A110" s="151" t="s">
        <v>141</v>
      </c>
      <c r="B110" s="157">
        <f>AVERAGE($B$2:$B$101)</f>
        <v>1.4332108255471205</v>
      </c>
      <c r="C110" s="157">
        <f>AVERAGE($C$2:$C$101)</f>
        <v>-4.0507811661234552</v>
      </c>
      <c r="D110" s="157">
        <f>AVERAGE($D$2:$D$101)</f>
        <v>0.8425807032636411</v>
      </c>
      <c r="E110" s="37">
        <f>ROUND($B$103/$B$102,3)</f>
        <v>8.4000000000000005E-2</v>
      </c>
      <c r="F110" s="37">
        <f>ABS(ROUND($C$103/$C$102,3))</f>
        <v>0.28799999999999998</v>
      </c>
      <c r="G110" s="37">
        <f>ROUND($D$103/$D$102,3)</f>
        <v>5.5E-2</v>
      </c>
    </row>
  </sheetData>
  <sheetProtection selectLockedCells="1"/>
  <mergeCells count="6">
    <mergeCell ref="F106:G106"/>
    <mergeCell ref="H106:I106"/>
    <mergeCell ref="J106:K106"/>
    <mergeCell ref="A107:D107"/>
    <mergeCell ref="F1:J27"/>
    <mergeCell ref="F101:H101"/>
  </mergeCells>
  <phoneticPr fontId="6" type="noConversion"/>
  <conditionalFormatting sqref="A75:A101">
    <cfRule type="cellIs" dxfId="24" priority="85" stopIfTrue="1" operator="equal">
      <formula>0</formula>
    </cfRule>
  </conditionalFormatting>
  <conditionalFormatting sqref="B75:D101">
    <cfRule type="cellIs" dxfId="23" priority="86" stopIfTrue="1" operator="equal">
      <formula>FALSE</formula>
    </cfRule>
  </conditionalFormatting>
  <conditionalFormatting sqref="A32:A74">
    <cfRule type="cellIs" dxfId="22" priority="5" stopIfTrue="1" operator="equal">
      <formula>0</formula>
    </cfRule>
  </conditionalFormatting>
  <conditionalFormatting sqref="B32:D74">
    <cfRule type="cellIs" dxfId="21" priority="6" stopIfTrue="1" operator="equal">
      <formula>FALSE</formula>
    </cfRule>
  </conditionalFormatting>
  <conditionalFormatting sqref="A2">
    <cfRule type="cellIs" dxfId="20" priority="3" stopIfTrue="1" operator="equal">
      <formula>0</formula>
    </cfRule>
  </conditionalFormatting>
  <conditionalFormatting sqref="B2:D2">
    <cfRule type="cellIs" dxfId="19" priority="4" stopIfTrue="1" operator="equal">
      <formula>FALSE</formula>
    </cfRule>
  </conditionalFormatting>
  <conditionalFormatting sqref="A3:A31">
    <cfRule type="cellIs" dxfId="18" priority="1" stopIfTrue="1" operator="equal">
      <formula>0</formula>
    </cfRule>
  </conditionalFormatting>
  <conditionalFormatting sqref="B3:D31">
    <cfRule type="cellIs" dxfId="17" priority="2" stopIfTrue="1" operator="equal">
      <formula>FALSE</formula>
    </cfRule>
  </conditionalFormatting>
  <printOptions horizontalCentered="1"/>
  <pageMargins left="0.98425196850393704" right="0.78740157480314965" top="0.39370078740157483" bottom="0.39370078740157483" header="0" footer="0"/>
  <pageSetup paperSize="9" scale="57"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indexed="9"/>
    <pageSetUpPr fitToPage="1"/>
  </sheetPr>
  <dimension ref="A1:AK27"/>
  <sheetViews>
    <sheetView showGridLines="0" zoomScale="90" zoomScaleNormal="90" workbookViewId="0">
      <selection activeCell="H16" sqref="H16"/>
    </sheetView>
  </sheetViews>
  <sheetFormatPr defaultRowHeight="13.2" x14ac:dyDescent="0.25"/>
  <cols>
    <col min="1" max="1" width="4.77734375" customWidth="1"/>
    <col min="2" max="2" width="17.109375" customWidth="1"/>
    <col min="3" max="8" width="8.6640625" customWidth="1"/>
    <col min="9" max="9" width="5.88671875" customWidth="1"/>
    <col min="10" max="10" width="8.6640625" customWidth="1"/>
    <col min="12" max="12" width="13.5546875" customWidth="1"/>
    <col min="13" max="13" width="12.77734375" customWidth="1"/>
  </cols>
  <sheetData>
    <row r="1" spans="1:23" ht="13.8" thickBot="1" x14ac:dyDescent="0.3"/>
    <row r="2" spans="1:23" ht="12.45" customHeight="1" x14ac:dyDescent="0.25">
      <c r="A2" s="209" t="s">
        <v>13</v>
      </c>
      <c r="B2" s="211" t="s">
        <v>3</v>
      </c>
      <c r="C2" s="211" t="s">
        <v>4</v>
      </c>
      <c r="D2" s="211"/>
      <c r="E2" s="211" t="s">
        <v>5</v>
      </c>
      <c r="F2" s="211"/>
      <c r="G2" s="211" t="s">
        <v>6</v>
      </c>
      <c r="H2" s="212"/>
      <c r="J2" s="206" t="s">
        <v>138</v>
      </c>
      <c r="K2" s="207"/>
      <c r="L2" s="207"/>
      <c r="M2" s="207"/>
      <c r="N2" s="207"/>
      <c r="O2" s="207"/>
      <c r="P2" s="207"/>
      <c r="Q2" s="207"/>
      <c r="R2" s="207"/>
      <c r="S2" s="207"/>
      <c r="T2" s="207"/>
      <c r="U2" s="207"/>
      <c r="V2" s="207"/>
      <c r="W2" s="207"/>
    </row>
    <row r="3" spans="1:23" ht="12.45" customHeight="1" x14ac:dyDescent="0.25">
      <c r="A3" s="210"/>
      <c r="B3" s="213"/>
      <c r="C3" s="166" t="s">
        <v>7</v>
      </c>
      <c r="D3" s="166" t="s">
        <v>8</v>
      </c>
      <c r="E3" s="166" t="s">
        <v>7</v>
      </c>
      <c r="F3" s="166" t="s">
        <v>8</v>
      </c>
      <c r="G3" s="166" t="s">
        <v>7</v>
      </c>
      <c r="H3" s="167" t="s">
        <v>8</v>
      </c>
      <c r="J3" s="207"/>
      <c r="K3" s="207"/>
      <c r="L3" s="207"/>
      <c r="M3" s="207"/>
      <c r="N3" s="207"/>
      <c r="O3" s="207"/>
      <c r="P3" s="207"/>
      <c r="Q3" s="207"/>
      <c r="R3" s="207"/>
      <c r="S3" s="207"/>
      <c r="T3" s="207"/>
      <c r="U3" s="207"/>
      <c r="V3" s="207"/>
      <c r="W3" s="207"/>
    </row>
    <row r="4" spans="1:23" ht="12.45" customHeight="1" x14ac:dyDescent="0.25">
      <c r="A4" s="5">
        <v>1</v>
      </c>
      <c r="B4" s="174" t="s">
        <v>142</v>
      </c>
      <c r="C4" s="171">
        <v>0.76</v>
      </c>
      <c r="D4" s="171">
        <v>2.16</v>
      </c>
      <c r="E4" s="171">
        <v>-15.31</v>
      </c>
      <c r="F4" s="171">
        <v>0</v>
      </c>
      <c r="G4" s="172">
        <v>0.61599999999999999</v>
      </c>
      <c r="H4" s="173">
        <v>0.92300000000000004</v>
      </c>
      <c r="J4" s="207"/>
      <c r="K4" s="207"/>
      <c r="L4" s="207"/>
      <c r="M4" s="207"/>
      <c r="N4" s="207"/>
      <c r="O4" s="207"/>
      <c r="P4" s="207"/>
      <c r="Q4" s="207"/>
      <c r="R4" s="207"/>
      <c r="S4" s="207"/>
      <c r="T4" s="207"/>
      <c r="U4" s="207"/>
      <c r="V4" s="207"/>
      <c r="W4" s="207"/>
    </row>
    <row r="5" spans="1:23" ht="12.45" customHeight="1" x14ac:dyDescent="0.25">
      <c r="A5" s="5">
        <v>2</v>
      </c>
      <c r="B5" s="168" t="s">
        <v>9</v>
      </c>
      <c r="C5" s="1">
        <v>1.73</v>
      </c>
      <c r="D5" s="1">
        <v>2.75</v>
      </c>
      <c r="E5" s="1">
        <v>-2.84</v>
      </c>
      <c r="F5" s="1">
        <v>2.84</v>
      </c>
      <c r="G5" s="2">
        <v>0.70399999999999996</v>
      </c>
      <c r="H5" s="6">
        <v>1.0269999999999999</v>
      </c>
      <c r="J5" s="207"/>
      <c r="K5" s="207"/>
      <c r="L5" s="207"/>
      <c r="M5" s="207"/>
      <c r="N5" s="207"/>
      <c r="O5" s="207"/>
      <c r="P5" s="207"/>
      <c r="Q5" s="207"/>
      <c r="R5" s="207"/>
      <c r="S5" s="207"/>
      <c r="T5" s="207"/>
      <c r="U5" s="207"/>
      <c r="V5" s="207"/>
      <c r="W5" s="207"/>
    </row>
    <row r="6" spans="1:23" ht="12.45" customHeight="1" x14ac:dyDescent="0.25">
      <c r="A6" s="5">
        <v>3</v>
      </c>
      <c r="B6" s="168" t="s">
        <v>10</v>
      </c>
      <c r="C6" s="171">
        <v>2</v>
      </c>
      <c r="D6" s="1">
        <v>3.29</v>
      </c>
      <c r="E6" s="171">
        <v>0</v>
      </c>
      <c r="F6" s="171">
        <v>4.7300000000000004</v>
      </c>
      <c r="G6" s="172">
        <v>0.92300000000000004</v>
      </c>
      <c r="H6" s="173">
        <v>1.206</v>
      </c>
      <c r="J6" s="207"/>
      <c r="K6" s="207"/>
      <c r="L6" s="207"/>
      <c r="M6" s="207"/>
      <c r="N6" s="207"/>
      <c r="O6" s="207"/>
      <c r="P6" s="207"/>
      <c r="Q6" s="207"/>
      <c r="R6" s="207"/>
      <c r="S6" s="207"/>
      <c r="T6" s="207"/>
      <c r="U6" s="207"/>
      <c r="V6" s="207"/>
      <c r="W6" s="207"/>
    </row>
    <row r="7" spans="1:23" ht="12.45" customHeight="1" thickBot="1" x14ac:dyDescent="0.3">
      <c r="A7" s="7">
        <v>4</v>
      </c>
      <c r="B7" s="169" t="s">
        <v>11</v>
      </c>
      <c r="C7" s="8">
        <v>2.16</v>
      </c>
      <c r="D7" s="8">
        <v>5.67</v>
      </c>
      <c r="E7" s="8">
        <v>0</v>
      </c>
      <c r="F7" s="8">
        <v>12.39</v>
      </c>
      <c r="G7" s="9">
        <v>0.92300000000000004</v>
      </c>
      <c r="H7" s="10">
        <v>1.42</v>
      </c>
      <c r="J7" s="207"/>
      <c r="K7" s="207"/>
      <c r="L7" s="207"/>
      <c r="M7" s="207"/>
      <c r="N7" s="207"/>
      <c r="O7" s="207"/>
      <c r="P7" s="207"/>
      <c r="Q7" s="207"/>
      <c r="R7" s="207"/>
      <c r="S7" s="207"/>
      <c r="T7" s="207"/>
      <c r="U7" s="207"/>
      <c r="V7" s="207"/>
      <c r="W7" s="207"/>
    </row>
    <row r="8" spans="1:23" ht="12.45" customHeight="1" x14ac:dyDescent="0.25">
      <c r="J8" s="207"/>
      <c r="K8" s="207"/>
      <c r="L8" s="207"/>
      <c r="M8" s="207"/>
      <c r="N8" s="207"/>
      <c r="O8" s="207"/>
      <c r="P8" s="207"/>
      <c r="Q8" s="207"/>
      <c r="R8" s="207"/>
      <c r="S8" s="207"/>
      <c r="T8" s="207"/>
      <c r="U8" s="207"/>
      <c r="V8" s="207"/>
      <c r="W8" s="207"/>
    </row>
    <row r="9" spans="1:23" ht="12.45" customHeight="1" x14ac:dyDescent="0.25">
      <c r="J9" s="207"/>
      <c r="K9" s="207"/>
      <c r="L9" s="207"/>
      <c r="M9" s="207"/>
      <c r="N9" s="207"/>
      <c r="O9" s="207"/>
      <c r="P9" s="207"/>
      <c r="Q9" s="207"/>
      <c r="R9" s="207"/>
      <c r="S9" s="207"/>
      <c r="T9" s="207"/>
      <c r="U9" s="207"/>
      <c r="V9" s="207"/>
      <c r="W9" s="207"/>
    </row>
    <row r="10" spans="1:23" ht="12.45" customHeight="1" x14ac:dyDescent="0.25">
      <c r="J10" s="207"/>
      <c r="K10" s="207"/>
      <c r="L10" s="207"/>
      <c r="M10" s="207"/>
      <c r="N10" s="207"/>
      <c r="O10" s="207"/>
      <c r="P10" s="207"/>
      <c r="Q10" s="207"/>
      <c r="R10" s="207"/>
      <c r="S10" s="207"/>
      <c r="T10" s="207"/>
      <c r="U10" s="207"/>
      <c r="V10" s="207"/>
      <c r="W10" s="207"/>
    </row>
    <row r="11" spans="1:23" ht="12.45" customHeight="1" x14ac:dyDescent="0.25">
      <c r="J11" s="207"/>
      <c r="K11" s="207"/>
      <c r="L11" s="207"/>
      <c r="M11" s="207"/>
      <c r="N11" s="207"/>
      <c r="O11" s="207"/>
      <c r="P11" s="207"/>
      <c r="Q11" s="207"/>
      <c r="R11" s="207"/>
      <c r="S11" s="207"/>
      <c r="T11" s="207"/>
      <c r="U11" s="207"/>
      <c r="V11" s="207"/>
      <c r="W11" s="207"/>
    </row>
    <row r="12" spans="1:23" ht="12.45" customHeight="1" x14ac:dyDescent="0.25">
      <c r="J12" s="207"/>
      <c r="K12" s="207"/>
      <c r="L12" s="207"/>
      <c r="M12" s="207"/>
      <c r="N12" s="207"/>
      <c r="O12" s="207"/>
      <c r="P12" s="207"/>
      <c r="Q12" s="207"/>
      <c r="R12" s="207"/>
      <c r="S12" s="207"/>
      <c r="T12" s="207"/>
      <c r="U12" s="207"/>
      <c r="V12" s="207"/>
      <c r="W12" s="207"/>
    </row>
    <row r="13" spans="1:23" ht="12.45" customHeight="1" x14ac:dyDescent="0.25">
      <c r="J13" s="207"/>
      <c r="K13" s="207"/>
      <c r="L13" s="207"/>
      <c r="M13" s="207"/>
      <c r="N13" s="207"/>
      <c r="O13" s="207"/>
      <c r="P13" s="207"/>
      <c r="Q13" s="207"/>
      <c r="R13" s="207"/>
      <c r="S13" s="207"/>
      <c r="T13" s="207"/>
      <c r="U13" s="207"/>
      <c r="V13" s="207"/>
      <c r="W13" s="207"/>
    </row>
    <row r="14" spans="1:23" x14ac:dyDescent="0.25">
      <c r="J14" s="207"/>
      <c r="K14" s="207"/>
      <c r="L14" s="207"/>
      <c r="M14" s="207"/>
      <c r="N14" s="207"/>
      <c r="O14" s="207"/>
      <c r="P14" s="207"/>
      <c r="Q14" s="207"/>
      <c r="R14" s="207"/>
      <c r="S14" s="207"/>
      <c r="T14" s="207"/>
      <c r="U14" s="207"/>
      <c r="V14" s="207"/>
      <c r="W14" s="207"/>
    </row>
    <row r="15" spans="1:23" x14ac:dyDescent="0.25">
      <c r="J15" s="207"/>
      <c r="K15" s="207"/>
      <c r="L15" s="207"/>
      <c r="M15" s="207"/>
      <c r="N15" s="207"/>
      <c r="O15" s="207"/>
      <c r="P15" s="207"/>
      <c r="Q15" s="207"/>
      <c r="R15" s="207"/>
      <c r="S15" s="207"/>
      <c r="T15" s="207"/>
      <c r="U15" s="207"/>
      <c r="V15" s="207"/>
      <c r="W15" s="207"/>
    </row>
    <row r="16" spans="1:23" x14ac:dyDescent="0.25">
      <c r="J16" s="207"/>
      <c r="K16" s="207"/>
      <c r="L16" s="207"/>
      <c r="M16" s="207"/>
      <c r="N16" s="207"/>
      <c r="O16" s="207"/>
      <c r="P16" s="207"/>
      <c r="Q16" s="207"/>
      <c r="R16" s="207"/>
      <c r="S16" s="207"/>
      <c r="T16" s="207"/>
      <c r="U16" s="207"/>
      <c r="V16" s="207"/>
      <c r="W16" s="207"/>
    </row>
    <row r="17" spans="6:37" x14ac:dyDescent="0.25">
      <c r="J17" s="207"/>
      <c r="K17" s="207"/>
      <c r="L17" s="207"/>
      <c r="M17" s="207"/>
      <c r="N17" s="207"/>
      <c r="O17" s="207"/>
      <c r="P17" s="207"/>
      <c r="Q17" s="207"/>
      <c r="R17" s="207"/>
      <c r="S17" s="207"/>
      <c r="T17" s="207"/>
      <c r="U17" s="207"/>
      <c r="V17" s="207"/>
      <c r="W17" s="207"/>
    </row>
    <row r="18" spans="6:37" s="12" customFormat="1" x14ac:dyDescent="0.25">
      <c r="J18" s="207"/>
      <c r="K18" s="207"/>
      <c r="L18" s="207"/>
      <c r="M18" s="207"/>
      <c r="N18" s="207"/>
      <c r="O18" s="207"/>
      <c r="P18" s="207"/>
      <c r="Q18" s="207"/>
      <c r="R18" s="207"/>
      <c r="S18" s="207"/>
      <c r="T18" s="207"/>
      <c r="U18" s="207"/>
      <c r="V18" s="207"/>
      <c r="W18" s="207"/>
    </row>
    <row r="19" spans="6:37" s="12" customFormat="1" x14ac:dyDescent="0.25">
      <c r="J19" s="207"/>
      <c r="K19" s="207"/>
      <c r="L19" s="207"/>
      <c r="M19" s="207"/>
      <c r="N19" s="207"/>
      <c r="O19" s="207"/>
      <c r="P19" s="207"/>
      <c r="Q19" s="207"/>
      <c r="R19" s="207"/>
      <c r="S19" s="207"/>
      <c r="T19" s="207"/>
      <c r="U19" s="207"/>
      <c r="V19" s="207"/>
      <c r="W19" s="207"/>
    </row>
    <row r="20" spans="6:37" s="12" customFormat="1" x14ac:dyDescent="0.25">
      <c r="J20" s="207"/>
      <c r="K20" s="207"/>
      <c r="L20" s="207"/>
      <c r="M20" s="207"/>
      <c r="N20" s="207"/>
      <c r="O20" s="207"/>
      <c r="P20" s="207"/>
      <c r="Q20" s="207"/>
      <c r="R20" s="207"/>
      <c r="S20" s="207"/>
      <c r="T20" s="207"/>
      <c r="U20" s="207"/>
      <c r="V20" s="207"/>
      <c r="W20" s="207"/>
    </row>
    <row r="21" spans="6:37" s="12" customFormat="1" x14ac:dyDescent="0.25">
      <c r="J21" s="207"/>
      <c r="K21" s="207"/>
      <c r="L21" s="207"/>
      <c r="M21" s="207"/>
      <c r="N21" s="207"/>
      <c r="O21" s="207"/>
      <c r="P21" s="207"/>
      <c r="Q21" s="207"/>
      <c r="R21" s="207"/>
      <c r="S21" s="207"/>
      <c r="T21" s="207"/>
      <c r="U21" s="207"/>
      <c r="V21" s="207"/>
      <c r="W21" s="207"/>
    </row>
    <row r="22" spans="6:37" s="12" customFormat="1" x14ac:dyDescent="0.25">
      <c r="J22" s="207"/>
      <c r="K22" s="207"/>
      <c r="L22" s="207"/>
      <c r="M22" s="207"/>
      <c r="N22" s="207"/>
      <c r="O22" s="207"/>
      <c r="P22" s="207"/>
      <c r="Q22" s="207"/>
      <c r="R22" s="207"/>
      <c r="S22" s="207"/>
      <c r="T22" s="207"/>
      <c r="U22" s="207"/>
      <c r="V22" s="207"/>
      <c r="W22" s="207"/>
    </row>
    <row r="23" spans="6:37" s="12" customFormat="1" x14ac:dyDescent="0.25">
      <c r="J23" s="207"/>
      <c r="K23" s="207"/>
      <c r="L23" s="207"/>
      <c r="M23" s="207"/>
      <c r="N23" s="207"/>
      <c r="O23" s="207"/>
      <c r="P23" s="207"/>
      <c r="Q23" s="207"/>
      <c r="R23" s="207"/>
      <c r="S23" s="207"/>
      <c r="T23" s="207"/>
      <c r="U23" s="207"/>
      <c r="V23" s="207"/>
      <c r="W23" s="207"/>
    </row>
    <row r="24" spans="6:37" s="12" customFormat="1" x14ac:dyDescent="0.25">
      <c r="J24" s="208"/>
      <c r="K24" s="208"/>
      <c r="L24" s="208"/>
      <c r="M24" s="208"/>
      <c r="N24" s="208"/>
      <c r="O24" s="208"/>
      <c r="P24" s="208"/>
      <c r="Q24" s="208"/>
      <c r="R24" s="208"/>
      <c r="S24" s="208"/>
      <c r="T24" s="208"/>
      <c r="U24" s="208"/>
      <c r="V24" s="208"/>
      <c r="W24" s="208"/>
    </row>
    <row r="25" spans="6:37" s="12" customFormat="1" x14ac:dyDescent="0.25">
      <c r="J25" s="187"/>
      <c r="K25" s="187"/>
      <c r="L25" s="187"/>
      <c r="M25" s="187"/>
      <c r="N25" s="187"/>
      <c r="O25" s="187"/>
      <c r="P25" s="187"/>
      <c r="Q25" s="187"/>
      <c r="R25" s="187"/>
      <c r="S25" s="187"/>
      <c r="T25" s="187"/>
      <c r="U25" s="187"/>
      <c r="V25" s="187"/>
      <c r="W25" s="187"/>
    </row>
    <row r="26" spans="6:37" s="12" customFormat="1" ht="13.8" x14ac:dyDescent="0.25">
      <c r="F26"/>
      <c r="G26"/>
      <c r="H26"/>
      <c r="I26"/>
      <c r="J26" s="124"/>
      <c r="K26" s="124"/>
      <c r="L26" s="124"/>
      <c r="M26" s="124"/>
      <c r="N26" s="124"/>
      <c r="O26" s="124"/>
      <c r="P26" s="124"/>
      <c r="Q26" s="124"/>
      <c r="R26" s="124"/>
      <c r="S26" s="124"/>
      <c r="T26" s="124"/>
      <c r="U26" s="124"/>
      <c r="V26" s="124"/>
      <c r="W26" s="124"/>
      <c r="X26"/>
      <c r="Y26"/>
      <c r="Z26"/>
      <c r="AA26"/>
      <c r="AB26"/>
      <c r="AC26"/>
      <c r="AD26"/>
      <c r="AE26"/>
      <c r="AF26"/>
      <c r="AG26"/>
      <c r="AH26"/>
      <c r="AI26"/>
      <c r="AJ26"/>
      <c r="AK26"/>
    </row>
    <row r="27" spans="6:37" ht="13.8" x14ac:dyDescent="0.25">
      <c r="J27" s="124"/>
      <c r="K27" s="124"/>
      <c r="L27" s="124"/>
      <c r="M27" s="124"/>
      <c r="N27" s="124"/>
      <c r="O27" s="124"/>
      <c r="P27" s="124"/>
      <c r="Q27" s="124"/>
      <c r="R27" s="124"/>
      <c r="S27" s="124"/>
      <c r="T27" s="124"/>
      <c r="U27" s="124"/>
      <c r="V27" s="124"/>
      <c r="W27" s="124"/>
    </row>
  </sheetData>
  <sheetProtection selectLockedCells="1"/>
  <mergeCells count="6">
    <mergeCell ref="J2:W25"/>
    <mergeCell ref="A2:A3"/>
    <mergeCell ref="C2:D2"/>
    <mergeCell ref="E2:F2"/>
    <mergeCell ref="G2:H2"/>
    <mergeCell ref="B2:B3"/>
  </mergeCells>
  <phoneticPr fontId="0" type="noConversion"/>
  <dataValidations count="12">
    <dataValidation type="decimal" allowBlank="1" showErrorMessage="1" errorTitle="Вне допустимого диапазона" error="Допускаются значения до 5,67" prompt="_x000a_" sqref="D4:D7">
      <formula1>C4</formula1>
      <formula2>5.67</formula2>
    </dataValidation>
    <dataValidation type="decimal" allowBlank="1" showErrorMessage="1" errorTitle="Вне допустимого диапазона" prompt="_x000a_" sqref="C5 C7">
      <formula1>C4+0.01</formula1>
      <formula2>D5</formula2>
    </dataValidation>
    <dataValidation type="decimal" allowBlank="1" showErrorMessage="1" errorTitle="Вне допустимого диапазона" prompt="_x000a_" sqref="E7">
      <formula1>-15.56</formula1>
      <formula2>F7</formula2>
    </dataValidation>
    <dataValidation type="decimal" allowBlank="1" showErrorMessage="1" errorTitle="Вне допустимого диапазона" prompt="_x000a_" sqref="G7">
      <formula1>0.616</formula1>
      <formula2>H7</formula2>
    </dataValidation>
    <dataValidation type="decimal" allowBlank="1" showErrorMessage="1" errorTitle="Вне допустимого диапазона" prompt="_x000a_" sqref="H4:H7">
      <formula1>G4</formula1>
      <formula2>1.42</formula2>
    </dataValidation>
    <dataValidation type="decimal" allowBlank="1" showErrorMessage="1" errorTitle="Вне допустимого диапазона" prompt="_x000a_" sqref="C4 C6">
      <formula1>0.76</formula1>
      <formula2>D4</formula2>
    </dataValidation>
    <dataValidation type="decimal" allowBlank="1" showErrorMessage="1" errorTitle="Вне допустимого диапазона" prompt="_x000a_" sqref="E5">
      <formula1>-15.56</formula1>
      <formula2>F5</formula2>
    </dataValidation>
    <dataValidation type="decimal" allowBlank="1" showErrorMessage="1" errorTitle="Вне допустимого диапазона" prompt="_x000a_" sqref="F5">
      <formula1>E5</formula1>
      <formula2>12.59</formula2>
    </dataValidation>
    <dataValidation type="decimal" allowBlank="1" showErrorMessage="1" errorTitle="Вне допустимого диапазона" prompt="_x000a_" sqref="F4 F6">
      <formula1>E4</formula1>
      <formula2>12.59</formula2>
    </dataValidation>
    <dataValidation type="decimal" allowBlank="1" showErrorMessage="1" errorTitle="Вне допустимого диапазона" prompt="_x000a_" sqref="F7">
      <formula1>E7</formula1>
      <formula2>12.39</formula2>
    </dataValidation>
    <dataValidation type="decimal" allowBlank="1" showErrorMessage="1" errorTitle="Вне допустимого диапазона" prompt="_x000a_" sqref="G4:G6">
      <formula1>0.616</formula1>
      <formula2>H4</formula2>
    </dataValidation>
    <dataValidation type="decimal" allowBlank="1" showErrorMessage="1" errorTitle="Вне допустимого диапазона" prompt="_x000a_" sqref="E4 E6">
      <formula1>-15.31</formula1>
      <formula2>F4</formula2>
    </dataValidation>
  </dataValidations>
  <printOptions horizontalCentered="1"/>
  <pageMargins left="0.78740157480314965" right="0.78740157480314965" top="0.78740157480314965" bottom="0.78740157480314965" header="0" footer="0"/>
  <pageSetup paperSize="9" scale="72"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9"/>
    <pageSetUpPr fitToPage="1"/>
  </sheetPr>
  <dimension ref="A1:K103"/>
  <sheetViews>
    <sheetView showGridLines="0" zoomScale="90" zoomScaleNormal="90" workbookViewId="0">
      <selection sqref="A1:A2"/>
    </sheetView>
  </sheetViews>
  <sheetFormatPr defaultRowHeight="13.2" x14ac:dyDescent="0.25"/>
  <cols>
    <col min="1" max="1" width="7.88671875" customWidth="1"/>
    <col min="2" max="5" width="10.6640625" customWidth="1"/>
    <col min="6" max="6" width="7.33203125" customWidth="1"/>
    <col min="7" max="7" width="4.6640625" customWidth="1"/>
    <col min="8" max="8" width="11.6640625" customWidth="1"/>
    <col min="9" max="9" width="12.21875" customWidth="1"/>
    <col min="10" max="11" width="18.6640625" customWidth="1"/>
  </cols>
  <sheetData>
    <row r="1" spans="1:11" ht="12.45" customHeight="1" x14ac:dyDescent="0.25">
      <c r="A1" s="214" t="s">
        <v>14</v>
      </c>
      <c r="B1" s="214" t="s">
        <v>12</v>
      </c>
      <c r="C1" s="214"/>
      <c r="D1" s="214"/>
      <c r="E1" s="214"/>
      <c r="F1" s="217" t="s">
        <v>84</v>
      </c>
      <c r="G1" s="234" t="s">
        <v>21</v>
      </c>
      <c r="H1" s="235"/>
      <c r="I1" s="235"/>
      <c r="J1" s="235"/>
      <c r="K1" s="236"/>
    </row>
    <row r="2" spans="1:11" ht="12.45" customHeight="1" x14ac:dyDescent="0.25">
      <c r="A2" s="214"/>
      <c r="B2" s="31" t="str">
        <f>Породы!B4</f>
        <v>Mellifera</v>
      </c>
      <c r="C2" s="32" t="str">
        <f>Породы!B5</f>
        <v>Caucasica</v>
      </c>
      <c r="D2" s="32" t="str">
        <f>Породы!B6</f>
        <v>Ligustica</v>
      </c>
      <c r="E2" s="32" t="str">
        <f>Породы!B7</f>
        <v>Carnica</v>
      </c>
      <c r="F2" s="218"/>
      <c r="G2" s="237"/>
      <c r="H2" s="238"/>
      <c r="I2" s="238"/>
      <c r="J2" s="238"/>
      <c r="K2" s="239"/>
    </row>
    <row r="3" spans="1:11" ht="12.45" customHeight="1" x14ac:dyDescent="0.25">
      <c r="A3" s="33">
        <f>Индексы!A2</f>
        <v>1</v>
      </c>
      <c r="B3" s="31" t="str">
        <f>IF(AND(Индексы!B2&gt;=Породы!$C$4,Индексы!B2&lt;=Породы!$D$4,Индексы!C2&gt;=Породы!$E$4,Индексы!C2&lt;=Породы!$F$4,Индексы!D2&gt;=Породы!$G$4,Индексы!D2&lt;=Породы!$H$4),IF(Индексы!B2&gt;0,Породы!$B$4," ")," ")</f>
        <v>Mellifera</v>
      </c>
      <c r="C3" s="31" t="str">
        <f>IF(AND(Индексы!B2&gt;=Породы!$C$5,Индексы!B2&lt;=Породы!$D$5,Индексы!C2&gt;=Породы!$E$5,Индексы!C2&lt;=Породы!$F$5,Индексы!D2&gt;=Породы!$G$5,Индексы!D2&lt;=Породы!$H$5),IF(Индексы!B2&gt;0,Породы!$B$5," ")," ")</f>
        <v xml:space="preserve"> </v>
      </c>
      <c r="D3" s="31" t="str">
        <f>IF(AND(Индексы!B2&gt;=Породы!$C$6,Индексы!B2&lt;=Породы!$D$6,Индексы!C2&gt;=Породы!$E$6,Индексы!C2&lt;=Породы!$F$6,Индексы!D2&gt;=Породы!$G$6,Индексы!D2&lt;=Породы!$H$6),IF(Индексы!B2&gt;0,Породы!$B$6," ")," ")</f>
        <v xml:space="preserve"> </v>
      </c>
      <c r="E3" s="31" t="str">
        <f>IF(AND(Индексы!B2&gt;=Породы!$C$7,Индексы!B2&lt;=Породы!$D$7,Индексы!C2&gt;=Породы!$E$7,Индексы!C2&lt;=Породы!$F$7,Индексы!D2&gt;=Породы!$G$7,Индексы!D2&lt;=Породы!$H$7),IF(Индексы!B2&gt;0,Породы!$B$7," ")," ")</f>
        <v xml:space="preserve"> </v>
      </c>
      <c r="F3" s="141">
        <f>IF(A3&gt;0,Индексы!B2,"")</f>
        <v>1.2626070135193432</v>
      </c>
      <c r="G3" s="237"/>
      <c r="H3" s="238"/>
      <c r="I3" s="238"/>
      <c r="J3" s="238"/>
      <c r="K3" s="239"/>
    </row>
    <row r="4" spans="1:11" ht="12.45" customHeight="1" x14ac:dyDescent="0.25">
      <c r="A4" s="33">
        <f>Индексы!A3</f>
        <v>2</v>
      </c>
      <c r="B4" s="31" t="str">
        <f>IF(AND(Индексы!B3&gt;=Породы!$C$4,Индексы!B3&lt;=Породы!$D$4,Индексы!C3&gt;=Породы!$E$4,Индексы!C3&lt;=Породы!$F$4,Индексы!D3&gt;=Породы!$G$4,Индексы!D3&lt;=Породы!$H$4),IF(Индексы!B3&gt;0,Породы!$B$4," ")," ")</f>
        <v>Mellifera</v>
      </c>
      <c r="C4" s="31" t="str">
        <f>IF(AND(Индексы!B3&gt;=Породы!$C$5,Индексы!B3&lt;=Породы!$D$5,Индексы!C3&gt;=Породы!$E$5,Индексы!C3&lt;=Породы!$F$5,Индексы!D3&gt;=Породы!$G$5,Индексы!D3&lt;=Породы!$H$5),IF(Индексы!B3&gt;0,Породы!$B$5," ")," ")</f>
        <v xml:space="preserve"> </v>
      </c>
      <c r="D4" s="31" t="str">
        <f>IF(AND(Индексы!B3&gt;=Породы!$C$6,Индексы!B3&lt;=Породы!$D$6,Индексы!C3&gt;=Породы!$E$6,Индексы!C3&lt;=Породы!$F$6,Индексы!D3&gt;=Породы!$G$6,Индексы!D3&lt;=Породы!$H$6),IF(Индексы!B3&gt;0,Породы!$B$6," ")," ")</f>
        <v xml:space="preserve"> </v>
      </c>
      <c r="E4" s="31" t="str">
        <f>IF(AND(Индексы!B3&gt;=Породы!$C$7,Индексы!B3&lt;=Породы!$D$7,Индексы!C3&gt;=Породы!$E$7,Индексы!C3&lt;=Породы!$F$7,Индексы!D3&gt;=Породы!$G$7,Индексы!D3&lt;=Породы!$H$7),IF(Индексы!B3&gt;0,Породы!$B$7," ")," ")</f>
        <v xml:space="preserve"> </v>
      </c>
      <c r="F4" s="141">
        <f>IF(A4&gt;0,Индексы!B3,"")</f>
        <v>1.4110486900645089</v>
      </c>
      <c r="G4" s="237"/>
      <c r="H4" s="238"/>
      <c r="I4" s="238"/>
      <c r="J4" s="238"/>
      <c r="K4" s="239"/>
    </row>
    <row r="5" spans="1:11" ht="12.45" customHeight="1" x14ac:dyDescent="0.25">
      <c r="A5" s="33">
        <f>Индексы!A4</f>
        <v>3</v>
      </c>
      <c r="B5" s="31" t="str">
        <f>IF(AND(Индексы!B4&gt;=Породы!$C$4,Индексы!B4&lt;=Породы!$D$4,Индексы!C4&gt;=Породы!$E$4,Индексы!C4&lt;=Породы!$F$4,Индексы!D4&gt;=Породы!$G$4,Индексы!D4&lt;=Породы!$H$4),IF(Индексы!B4&gt;0,Породы!$B$4," ")," ")</f>
        <v>Mellifera</v>
      </c>
      <c r="C5" s="31" t="str">
        <f>IF(AND(Индексы!B4&gt;=Породы!$C$5,Индексы!B4&lt;=Породы!$D$5,Индексы!C4&gt;=Породы!$E$5,Индексы!C4&lt;=Породы!$F$5,Индексы!D4&gt;=Породы!$G$5,Индексы!D4&lt;=Породы!$H$5),IF(Индексы!B4&gt;0,Породы!$B$5," ")," ")</f>
        <v xml:space="preserve"> </v>
      </c>
      <c r="D5" s="31" t="str">
        <f>IF(AND(Индексы!B4&gt;=Породы!$C$6,Индексы!B4&lt;=Породы!$D$6,Индексы!C4&gt;=Породы!$E$6,Индексы!C4&lt;=Породы!$F$6,Индексы!D4&gt;=Породы!$G$6,Индексы!D4&lt;=Породы!$H$6),IF(Индексы!B4&gt;0,Породы!$B$6," ")," ")</f>
        <v xml:space="preserve"> </v>
      </c>
      <c r="E5" s="31" t="str">
        <f>IF(AND(Индексы!B4&gt;=Породы!$C$7,Индексы!B4&lt;=Породы!$D$7,Индексы!C4&gt;=Породы!$E$7,Индексы!C4&lt;=Породы!$F$7,Индексы!D4&gt;=Породы!$G$7,Индексы!D4&lt;=Породы!$H$7),IF(Индексы!B4&gt;0,Породы!$B$7," ")," ")</f>
        <v xml:space="preserve"> </v>
      </c>
      <c r="F5" s="141">
        <f>IF(A5&gt;0,Индексы!B4,"")</f>
        <v>1.3970928948001387</v>
      </c>
      <c r="G5" s="237"/>
      <c r="H5" s="238"/>
      <c r="I5" s="238"/>
      <c r="J5" s="238"/>
      <c r="K5" s="239"/>
    </row>
    <row r="6" spans="1:11" ht="12.45" customHeight="1" x14ac:dyDescent="0.25">
      <c r="A6" s="33">
        <f>Индексы!A5</f>
        <v>4</v>
      </c>
      <c r="B6" s="31" t="str">
        <f>IF(AND(Индексы!B5&gt;=Породы!$C$4,Индексы!B5&lt;=Породы!$D$4,Индексы!C5&gt;=Породы!$E$4,Индексы!C5&lt;=Породы!$F$4,Индексы!D5&gt;=Породы!$G$4,Индексы!D5&lt;=Породы!$H$4),IF(Индексы!B5&gt;0,Породы!$B$4," ")," ")</f>
        <v>Mellifera</v>
      </c>
      <c r="C6" s="31" t="str">
        <f>IF(AND(Индексы!B5&gt;=Породы!$C$5,Индексы!B5&lt;=Породы!$D$5,Индексы!C5&gt;=Породы!$E$5,Индексы!C5&lt;=Породы!$F$5,Индексы!D5&gt;=Породы!$G$5,Индексы!D5&lt;=Породы!$H$5),IF(Индексы!B5&gt;0,Породы!$B$5," ")," ")</f>
        <v xml:space="preserve"> </v>
      </c>
      <c r="D6" s="31" t="str">
        <f>IF(AND(Индексы!B5&gt;=Породы!$C$6,Индексы!B5&lt;=Породы!$D$6,Индексы!C5&gt;=Породы!$E$6,Индексы!C5&lt;=Породы!$F$6,Индексы!D5&gt;=Породы!$G$6,Индексы!D5&lt;=Породы!$H$6),IF(Индексы!B5&gt;0,Породы!$B$6," ")," ")</f>
        <v xml:space="preserve"> </v>
      </c>
      <c r="E6" s="31" t="str">
        <f>IF(AND(Индексы!B5&gt;=Породы!$C$7,Индексы!B5&lt;=Породы!$D$7,Индексы!C5&gt;=Породы!$E$7,Индексы!C5&lt;=Породы!$F$7,Индексы!D5&gt;=Породы!$G$7,Индексы!D5&lt;=Породы!$H$7),IF(Индексы!B5&gt;0,Породы!$B$7," ")," ")</f>
        <v xml:space="preserve"> </v>
      </c>
      <c r="F6" s="141">
        <f>IF(A6&gt;0,Индексы!B5,"")</f>
        <v>1.5152208616653291</v>
      </c>
      <c r="G6" s="237"/>
      <c r="H6" s="238"/>
      <c r="I6" s="238"/>
      <c r="J6" s="238"/>
      <c r="K6" s="239"/>
    </row>
    <row r="7" spans="1:11" ht="12.45" customHeight="1" x14ac:dyDescent="0.25">
      <c r="A7" s="33">
        <f>Индексы!A6</f>
        <v>5</v>
      </c>
      <c r="B7" s="31" t="str">
        <f>IF(AND(Индексы!B6&gt;=Породы!$C$4,Индексы!B6&lt;=Породы!$D$4,Индексы!C6&gt;=Породы!$E$4,Индексы!C6&lt;=Породы!$F$4,Индексы!D6&gt;=Породы!$G$4,Индексы!D6&lt;=Породы!$H$4),IF(Индексы!B6&gt;0,Породы!$B$4," ")," ")</f>
        <v>Mellifera</v>
      </c>
      <c r="C7" s="31" t="str">
        <f>IF(AND(Индексы!B6&gt;=Породы!$C$5,Индексы!B6&lt;=Породы!$D$5,Индексы!C6&gt;=Породы!$E$5,Индексы!C6&lt;=Породы!$F$5,Индексы!D6&gt;=Породы!$G$5,Индексы!D6&lt;=Породы!$H$5),IF(Индексы!B6&gt;0,Породы!$B$5," ")," ")</f>
        <v xml:space="preserve"> </v>
      </c>
      <c r="D7" s="31" t="str">
        <f>IF(AND(Индексы!B6&gt;=Породы!$C$6,Индексы!B6&lt;=Породы!$D$6,Индексы!C6&gt;=Породы!$E$6,Индексы!C6&lt;=Породы!$F$6,Индексы!D6&gt;=Породы!$G$6,Индексы!D6&lt;=Породы!$H$6),IF(Индексы!B6&gt;0,Породы!$B$6," ")," ")</f>
        <v xml:space="preserve"> </v>
      </c>
      <c r="E7" s="31" t="str">
        <f>IF(AND(Индексы!B6&gt;=Породы!$C$7,Индексы!B6&lt;=Породы!$D$7,Индексы!C6&gt;=Породы!$E$7,Индексы!C6&lt;=Породы!$F$7,Индексы!D6&gt;=Породы!$G$7,Индексы!D6&lt;=Породы!$H$7),IF(Индексы!B6&gt;0,Породы!$B$7," ")," ")</f>
        <v xml:space="preserve"> </v>
      </c>
      <c r="F7" s="141">
        <f>IF(A7&gt;0,Индексы!B6,"")</f>
        <v>1.8090879062408518</v>
      </c>
      <c r="G7" s="237"/>
      <c r="H7" s="238"/>
      <c r="I7" s="238"/>
      <c r="J7" s="238"/>
      <c r="K7" s="239"/>
    </row>
    <row r="8" spans="1:11" ht="13.05" customHeight="1" x14ac:dyDescent="0.25">
      <c r="A8" s="33">
        <f>Индексы!A7</f>
        <v>6</v>
      </c>
      <c r="B8" s="31" t="str">
        <f>IF(AND(Индексы!B7&gt;=Породы!$C$4,Индексы!B7&lt;=Породы!$D$4,Индексы!C7&gt;=Породы!$E$4,Индексы!C7&lt;=Породы!$F$4,Индексы!D7&gt;=Породы!$G$4,Индексы!D7&lt;=Породы!$H$4),IF(Индексы!B7&gt;0,Породы!$B$4," ")," ")</f>
        <v>Mellifera</v>
      </c>
      <c r="C8" s="31" t="str">
        <f>IF(AND(Индексы!B7&gt;=Породы!$C$5,Индексы!B7&lt;=Породы!$D$5,Индексы!C7&gt;=Породы!$E$5,Индексы!C7&lt;=Породы!$F$5,Индексы!D7&gt;=Породы!$G$5,Индексы!D7&lt;=Породы!$H$5),IF(Индексы!B7&gt;0,Породы!$B$5," ")," ")</f>
        <v xml:space="preserve"> </v>
      </c>
      <c r="D8" s="31" t="str">
        <f>IF(AND(Индексы!B7&gt;=Породы!$C$6,Индексы!B7&lt;=Породы!$D$6,Индексы!C7&gt;=Породы!$E$6,Индексы!C7&lt;=Породы!$F$6,Индексы!D7&gt;=Породы!$G$6,Индексы!D7&lt;=Породы!$H$6),IF(Индексы!B7&gt;0,Породы!$B$6," ")," ")</f>
        <v xml:space="preserve"> </v>
      </c>
      <c r="E8" s="31" t="str">
        <f>IF(AND(Индексы!B7&gt;=Породы!$C$7,Индексы!B7&lt;=Породы!$D$7,Индексы!C7&gt;=Породы!$E$7,Индексы!C7&lt;=Породы!$F$7,Индексы!D7&gt;=Породы!$G$7,Индексы!D7&lt;=Породы!$H$7),IF(Индексы!B7&gt;0,Породы!$B$7," ")," ")</f>
        <v xml:space="preserve"> </v>
      </c>
      <c r="F8" s="141">
        <f>IF(A8&gt;0,Индексы!B7,"")</f>
        <v>1.4082701577665713</v>
      </c>
      <c r="G8" s="237"/>
      <c r="H8" s="238"/>
      <c r="I8" s="238"/>
      <c r="J8" s="238"/>
      <c r="K8" s="239"/>
    </row>
    <row r="9" spans="1:11" ht="12.45" customHeight="1" x14ac:dyDescent="0.25">
      <c r="A9" s="33">
        <f>Индексы!A8</f>
        <v>7</v>
      </c>
      <c r="B9" s="31" t="str">
        <f>IF(AND(Индексы!B8&gt;=Породы!$C$4,Индексы!B8&lt;=Породы!$D$4,Индексы!C8&gt;=Породы!$E$4,Индексы!C8&lt;=Породы!$F$4,Индексы!D8&gt;=Породы!$G$4,Индексы!D8&lt;=Породы!$H$4),IF(Индексы!B8&gt;0,Породы!$B$4," ")," ")</f>
        <v>Mellifera</v>
      </c>
      <c r="C9" s="31" t="str">
        <f>IF(AND(Индексы!B8&gt;=Породы!$C$5,Индексы!B8&lt;=Породы!$D$5,Индексы!C8&gt;=Породы!$E$5,Индексы!C8&lt;=Породы!$F$5,Индексы!D8&gt;=Породы!$G$5,Индексы!D8&lt;=Породы!$H$5),IF(Индексы!B8&gt;0,Породы!$B$5," ")," ")</f>
        <v xml:space="preserve"> </v>
      </c>
      <c r="D9" s="31" t="str">
        <f>IF(AND(Индексы!B8&gt;=Породы!$C$6,Индексы!B8&lt;=Породы!$D$6,Индексы!C8&gt;=Породы!$E$6,Индексы!C8&lt;=Породы!$F$6,Индексы!D8&gt;=Породы!$G$6,Индексы!D8&lt;=Породы!$H$6),IF(Индексы!B8&gt;0,Породы!$B$6," ")," ")</f>
        <v xml:space="preserve"> </v>
      </c>
      <c r="E9" s="31" t="str">
        <f>IF(AND(Индексы!B8&gt;=Породы!$C$7,Индексы!B8&lt;=Породы!$D$7,Индексы!C8&gt;=Породы!$E$7,Индексы!C8&lt;=Породы!$F$7,Индексы!D8&gt;=Породы!$G$7,Индексы!D8&lt;=Породы!$H$7),IF(Индексы!B8&gt;0,Породы!$B$7," ")," ")</f>
        <v xml:space="preserve"> </v>
      </c>
      <c r="F9" s="141">
        <f>IF(A9&gt;0,Индексы!B8,"")</f>
        <v>1.434152613613296</v>
      </c>
      <c r="G9" s="237"/>
      <c r="H9" s="238"/>
      <c r="I9" s="238"/>
      <c r="J9" s="238"/>
      <c r="K9" s="239"/>
    </row>
    <row r="10" spans="1:11" ht="12.45" customHeight="1" x14ac:dyDescent="0.25">
      <c r="A10" s="33">
        <f>Индексы!A9</f>
        <v>8</v>
      </c>
      <c r="B10" s="31" t="str">
        <f>IF(AND(Индексы!B9&gt;=Породы!$C$4,Индексы!B9&lt;=Породы!$D$4,Индексы!C9&gt;=Породы!$E$4,Индексы!C9&lt;=Породы!$F$4,Индексы!D9&gt;=Породы!$G$4,Индексы!D9&lt;=Породы!$H$4),IF(Индексы!B9&gt;0,Породы!$B$4," ")," ")</f>
        <v>Mellifera</v>
      </c>
      <c r="C10" s="31" t="str">
        <f>IF(AND(Индексы!B9&gt;=Породы!$C$5,Индексы!B9&lt;=Породы!$D$5,Индексы!C9&gt;=Породы!$E$5,Индексы!C9&lt;=Породы!$F$5,Индексы!D9&gt;=Породы!$G$5,Индексы!D9&lt;=Породы!$H$5),IF(Индексы!B9&gt;0,Породы!$B$5," ")," ")</f>
        <v xml:space="preserve"> </v>
      </c>
      <c r="D10" s="31" t="str">
        <f>IF(AND(Индексы!B9&gt;=Породы!$C$6,Индексы!B9&lt;=Породы!$D$6,Индексы!C9&gt;=Породы!$E$6,Индексы!C9&lt;=Породы!$F$6,Индексы!D9&gt;=Породы!$G$6,Индексы!D9&lt;=Породы!$H$6),IF(Индексы!B9&gt;0,Породы!$B$6," ")," ")</f>
        <v xml:space="preserve"> </v>
      </c>
      <c r="E10" s="31" t="str">
        <f>IF(AND(Индексы!B9&gt;=Породы!$C$7,Индексы!B9&lt;=Породы!$D$7,Индексы!C9&gt;=Породы!$E$7,Индексы!C9&lt;=Породы!$F$7,Индексы!D9&gt;=Породы!$G$7,Индексы!D9&lt;=Породы!$H$7),IF(Индексы!B9&gt;0,Породы!$B$7," ")," ")</f>
        <v xml:space="preserve"> </v>
      </c>
      <c r="F10" s="141">
        <f>IF(A10&gt;0,Индексы!B9,"")</f>
        <v>1.457615984110074</v>
      </c>
      <c r="G10" s="237"/>
      <c r="H10" s="238"/>
      <c r="I10" s="238"/>
      <c r="J10" s="238"/>
      <c r="K10" s="239"/>
    </row>
    <row r="11" spans="1:11" ht="12.45" customHeight="1" x14ac:dyDescent="0.25">
      <c r="A11" s="33">
        <f>Индексы!A10</f>
        <v>9</v>
      </c>
      <c r="B11" s="31" t="str">
        <f>IF(AND(Индексы!B10&gt;=Породы!$C$4,Индексы!B10&lt;=Породы!$D$4,Индексы!C10&gt;=Породы!$E$4,Индексы!C10&lt;=Породы!$F$4,Индексы!D10&gt;=Породы!$G$4,Индексы!D10&lt;=Породы!$H$4),IF(Индексы!B10&gt;0,Породы!$B$4," ")," ")</f>
        <v>Mellifera</v>
      </c>
      <c r="C11" s="31" t="str">
        <f>IF(AND(Индексы!B10&gt;=Породы!$C$5,Индексы!B10&lt;=Породы!$D$5,Индексы!C10&gt;=Породы!$E$5,Индексы!C10&lt;=Породы!$F$5,Индексы!D10&gt;=Породы!$G$5,Индексы!D10&lt;=Породы!$H$5),IF(Индексы!B10&gt;0,Породы!$B$5," ")," ")</f>
        <v xml:space="preserve"> </v>
      </c>
      <c r="D11" s="31" t="str">
        <f>IF(AND(Индексы!B10&gt;=Породы!$C$6,Индексы!B10&lt;=Породы!$D$6,Индексы!C10&gt;=Породы!$E$6,Индексы!C10&lt;=Породы!$F$6,Индексы!D10&gt;=Породы!$G$6,Индексы!D10&lt;=Породы!$H$6),IF(Индексы!B10&gt;0,Породы!$B$6," ")," ")</f>
        <v xml:space="preserve"> </v>
      </c>
      <c r="E11" s="31" t="str">
        <f>IF(AND(Индексы!B10&gt;=Породы!$C$7,Индексы!B10&lt;=Породы!$D$7,Индексы!C10&gt;=Породы!$E$7,Индексы!C10&lt;=Породы!$F$7,Индексы!D10&gt;=Породы!$G$7,Индексы!D10&lt;=Породы!$H$7),IF(Индексы!B10&gt;0,Породы!$B$7," ")," ")</f>
        <v xml:space="preserve"> </v>
      </c>
      <c r="F11" s="141">
        <f>IF(A11&gt;0,Индексы!B10,"")</f>
        <v>1.3886551296096701</v>
      </c>
      <c r="G11" s="237"/>
      <c r="H11" s="238"/>
      <c r="I11" s="238"/>
      <c r="J11" s="238"/>
      <c r="K11" s="239"/>
    </row>
    <row r="12" spans="1:11" ht="12.45" customHeight="1" x14ac:dyDescent="0.25">
      <c r="A12" s="33">
        <f>Индексы!A11</f>
        <v>10</v>
      </c>
      <c r="B12" s="31" t="str">
        <f>IF(AND(Индексы!B11&gt;=Породы!$C$4,Индексы!B11&lt;=Породы!$D$4,Индексы!C11&gt;=Породы!$E$4,Индексы!C11&lt;=Породы!$F$4,Индексы!D11&gt;=Породы!$G$4,Индексы!D11&lt;=Породы!$H$4),IF(Индексы!B11&gt;0,Породы!$B$4," ")," ")</f>
        <v>Mellifera</v>
      </c>
      <c r="C12" s="31" t="str">
        <f>IF(AND(Индексы!B11&gt;=Породы!$C$5,Индексы!B11&lt;=Породы!$D$5,Индексы!C11&gt;=Породы!$E$5,Индексы!C11&lt;=Породы!$F$5,Индексы!D11&gt;=Породы!$G$5,Индексы!D11&lt;=Породы!$H$5),IF(Индексы!B11&gt;0,Породы!$B$5," ")," ")</f>
        <v xml:space="preserve"> </v>
      </c>
      <c r="D12" s="31" t="str">
        <f>IF(AND(Индексы!B11&gt;=Породы!$C$6,Индексы!B11&lt;=Породы!$D$6,Индексы!C11&gt;=Породы!$E$6,Индексы!C11&lt;=Породы!$F$6,Индексы!D11&gt;=Породы!$G$6,Индексы!D11&lt;=Породы!$H$6),IF(Индексы!B11&gt;0,Породы!$B$6," ")," ")</f>
        <v xml:space="preserve"> </v>
      </c>
      <c r="E12" s="31" t="str">
        <f>IF(AND(Индексы!B11&gt;=Породы!$C$7,Индексы!B11&lt;=Породы!$D$7,Индексы!C11&gt;=Породы!$E$7,Индексы!C11&lt;=Породы!$F$7,Индексы!D11&gt;=Породы!$G$7,Индексы!D11&lt;=Породы!$H$7),IF(Индексы!B11&gt;0,Породы!$B$7," ")," ")</f>
        <v xml:space="preserve"> </v>
      </c>
      <c r="F12" s="141">
        <f>IF(A12&gt;0,Индексы!B11,"")</f>
        <v>1.5121630858581008</v>
      </c>
      <c r="G12" s="237"/>
      <c r="H12" s="238"/>
      <c r="I12" s="238"/>
      <c r="J12" s="238"/>
      <c r="K12" s="239"/>
    </row>
    <row r="13" spans="1:11" ht="12.45" customHeight="1" x14ac:dyDescent="0.25">
      <c r="A13" s="33">
        <f>Индексы!A12</f>
        <v>11</v>
      </c>
      <c r="B13" s="31" t="str">
        <f>IF(AND(Индексы!B12&gt;=Породы!$C$4,Индексы!B12&lt;=Породы!$D$4,Индексы!C12&gt;=Породы!$E$4,Индексы!C12&lt;=Породы!$F$4,Индексы!D12&gt;=Породы!$G$4,Индексы!D12&lt;=Породы!$H$4),IF(Индексы!B12&gt;0,Породы!$B$4," ")," ")</f>
        <v>Mellifera</v>
      </c>
      <c r="C13" s="31" t="str">
        <f>IF(AND(Индексы!B12&gt;=Породы!$C$5,Индексы!B12&lt;=Породы!$D$5,Индексы!C12&gt;=Породы!$E$5,Индексы!C12&lt;=Породы!$F$5,Индексы!D12&gt;=Породы!$G$5,Индексы!D12&lt;=Породы!$H$5),IF(Индексы!B12&gt;0,Породы!$B$5," ")," ")</f>
        <v xml:space="preserve"> </v>
      </c>
      <c r="D13" s="31" t="str">
        <f>IF(AND(Индексы!B12&gt;=Породы!$C$6,Индексы!B12&lt;=Породы!$D$6,Индексы!C12&gt;=Породы!$E$6,Индексы!C12&lt;=Породы!$F$6,Индексы!D12&gt;=Породы!$G$6,Индексы!D12&lt;=Породы!$H$6),IF(Индексы!B12&gt;0,Породы!$B$6," ")," ")</f>
        <v xml:space="preserve"> </v>
      </c>
      <c r="E13" s="31" t="str">
        <f>IF(AND(Индексы!B12&gt;=Породы!$C$7,Индексы!B12&lt;=Породы!$D$7,Индексы!C12&gt;=Породы!$E$7,Индексы!C12&lt;=Породы!$F$7,Индексы!D12&gt;=Породы!$G$7,Индексы!D12&lt;=Породы!$H$7),IF(Индексы!B12&gt;0,Породы!$B$7," ")," ")</f>
        <v xml:space="preserve"> </v>
      </c>
      <c r="F13" s="141">
        <f>IF(A13&gt;0,Индексы!B12,"")</f>
        <v>1.4282115105923434</v>
      </c>
      <c r="G13" s="237"/>
      <c r="H13" s="238"/>
      <c r="I13" s="238"/>
      <c r="J13" s="238"/>
      <c r="K13" s="239"/>
    </row>
    <row r="14" spans="1:11" ht="12.45" customHeight="1" x14ac:dyDescent="0.25">
      <c r="A14" s="33">
        <f>Индексы!A13</f>
        <v>12</v>
      </c>
      <c r="B14" s="31" t="str">
        <f>IF(AND(Индексы!B13&gt;=Породы!$C$4,Индексы!B13&lt;=Породы!$D$4,Индексы!C13&gt;=Породы!$E$4,Индексы!C13&lt;=Породы!$F$4,Индексы!D13&gt;=Породы!$G$4,Индексы!D13&lt;=Породы!$H$4),IF(Индексы!B13&gt;0,Породы!$B$4," ")," ")</f>
        <v>Mellifera</v>
      </c>
      <c r="C14" s="31" t="str">
        <f>IF(AND(Индексы!B13&gt;=Породы!$C$5,Индексы!B13&lt;=Породы!$D$5,Индексы!C13&gt;=Породы!$E$5,Индексы!C13&lt;=Породы!$F$5,Индексы!D13&gt;=Породы!$G$5,Индексы!D13&lt;=Породы!$H$5),IF(Индексы!B13&gt;0,Породы!$B$5," ")," ")</f>
        <v xml:space="preserve"> </v>
      </c>
      <c r="D14" s="31" t="str">
        <f>IF(AND(Индексы!B13&gt;=Породы!$C$6,Индексы!B13&lt;=Породы!$D$6,Индексы!C13&gt;=Породы!$E$6,Индексы!C13&lt;=Породы!$F$6,Индексы!D13&gt;=Породы!$G$6,Индексы!D13&lt;=Породы!$H$6),IF(Индексы!B13&gt;0,Породы!$B$6," ")," ")</f>
        <v xml:space="preserve"> </v>
      </c>
      <c r="E14" s="31" t="str">
        <f>IF(AND(Индексы!B13&gt;=Породы!$C$7,Индексы!B13&lt;=Породы!$D$7,Индексы!C13&gt;=Породы!$E$7,Индексы!C13&lt;=Породы!$F$7,Индексы!D13&gt;=Породы!$G$7,Индексы!D13&lt;=Породы!$H$7),IF(Индексы!B13&gt;0,Породы!$B$7," ")," ")</f>
        <v xml:space="preserve"> </v>
      </c>
      <c r="F14" s="141">
        <f>IF(A14&gt;0,Индексы!B13,"")</f>
        <v>1.4867666423160466</v>
      </c>
      <c r="G14" s="237"/>
      <c r="H14" s="238"/>
      <c r="I14" s="238"/>
      <c r="J14" s="238"/>
      <c r="K14" s="239"/>
    </row>
    <row r="15" spans="1:11" ht="12.45" customHeight="1" x14ac:dyDescent="0.25">
      <c r="A15" s="33">
        <f>Индексы!A14</f>
        <v>13</v>
      </c>
      <c r="B15" s="31" t="str">
        <f>IF(AND(Индексы!B14&gt;=Породы!$C$4,Индексы!B14&lt;=Породы!$D$4,Индексы!C14&gt;=Породы!$E$4,Индексы!C14&lt;=Породы!$F$4,Индексы!D14&gt;=Породы!$G$4,Индексы!D14&lt;=Породы!$H$4),IF(Индексы!B14&gt;0,Породы!$B$4," ")," ")</f>
        <v>Mellifera</v>
      </c>
      <c r="C15" s="31" t="str">
        <f>IF(AND(Индексы!B14&gt;=Породы!$C$5,Индексы!B14&lt;=Породы!$D$5,Индексы!C14&gt;=Породы!$E$5,Индексы!C14&lt;=Породы!$F$5,Индексы!D14&gt;=Породы!$G$5,Индексы!D14&lt;=Породы!$H$5),IF(Индексы!B14&gt;0,Породы!$B$5," ")," ")</f>
        <v xml:space="preserve"> </v>
      </c>
      <c r="D15" s="31" t="str">
        <f>IF(AND(Индексы!B14&gt;=Породы!$C$6,Индексы!B14&lt;=Породы!$D$6,Индексы!C14&gt;=Породы!$E$6,Индексы!C14&lt;=Породы!$F$6,Индексы!D14&gt;=Породы!$G$6,Индексы!D14&lt;=Породы!$H$6),IF(Индексы!B14&gt;0,Породы!$B$6," ")," ")</f>
        <v xml:space="preserve"> </v>
      </c>
      <c r="E15" s="31" t="str">
        <f>IF(AND(Индексы!B14&gt;=Породы!$C$7,Индексы!B14&lt;=Породы!$D$7,Индексы!C14&gt;=Породы!$E$7,Индексы!C14&lt;=Породы!$F$7,Индексы!D14&gt;=Породы!$G$7,Индексы!D14&lt;=Породы!$H$7),IF(Индексы!B14&gt;0,Породы!$B$7," ")," ")</f>
        <v xml:space="preserve"> </v>
      </c>
      <c r="F15" s="141">
        <f>IF(A15&gt;0,Индексы!B14,"")</f>
        <v>1.4243093464185492</v>
      </c>
      <c r="G15" s="237"/>
      <c r="H15" s="238"/>
      <c r="I15" s="238"/>
      <c r="J15" s="238"/>
      <c r="K15" s="239"/>
    </row>
    <row r="16" spans="1:11" ht="12.45" customHeight="1" x14ac:dyDescent="0.25">
      <c r="A16" s="33">
        <f>Индексы!A15</f>
        <v>14</v>
      </c>
      <c r="B16" s="31" t="str">
        <f>IF(AND(Индексы!B15&gt;=Породы!$C$4,Индексы!B15&lt;=Породы!$D$4,Индексы!C15&gt;=Породы!$E$4,Индексы!C15&lt;=Породы!$F$4,Индексы!D15&gt;=Породы!$G$4,Индексы!D15&lt;=Породы!$H$4),IF(Индексы!B15&gt;0,Породы!$B$4," ")," ")</f>
        <v>Mellifera</v>
      </c>
      <c r="C16" s="31" t="str">
        <f>IF(AND(Индексы!B15&gt;=Породы!$C$5,Индексы!B15&lt;=Породы!$D$5,Индексы!C15&gt;=Породы!$E$5,Индексы!C15&lt;=Породы!$F$5,Индексы!D15&gt;=Породы!$G$5,Индексы!D15&lt;=Породы!$H$5),IF(Индексы!B15&gt;0,Породы!$B$5," ")," ")</f>
        <v xml:space="preserve"> </v>
      </c>
      <c r="D16" s="31" t="str">
        <f>IF(AND(Индексы!B15&gt;=Породы!$C$6,Индексы!B15&lt;=Породы!$D$6,Индексы!C15&gt;=Породы!$E$6,Индексы!C15&lt;=Породы!$F$6,Индексы!D15&gt;=Породы!$G$6,Индексы!D15&lt;=Породы!$H$6),IF(Индексы!B15&gt;0,Породы!$B$6," ")," ")</f>
        <v xml:space="preserve"> </v>
      </c>
      <c r="E16" s="31" t="str">
        <f>IF(AND(Индексы!B15&gt;=Породы!$C$7,Индексы!B15&lt;=Породы!$D$7,Индексы!C15&gt;=Породы!$E$7,Индексы!C15&lt;=Породы!$F$7,Индексы!D15&gt;=Породы!$G$7,Индексы!D15&lt;=Породы!$H$7),IF(Индексы!B15&gt;0,Породы!$B$7," ")," ")</f>
        <v xml:space="preserve"> </v>
      </c>
      <c r="F16" s="141">
        <f>IF(A16&gt;0,Индексы!B15,"")</f>
        <v>1.6170842575913029</v>
      </c>
      <c r="G16" s="237"/>
      <c r="H16" s="238"/>
      <c r="I16" s="238"/>
      <c r="J16" s="238"/>
      <c r="K16" s="239"/>
    </row>
    <row r="17" spans="1:11" ht="12.45" customHeight="1" thickBot="1" x14ac:dyDescent="0.3">
      <c r="A17" s="33">
        <f>Индексы!A16</f>
        <v>15</v>
      </c>
      <c r="B17" s="31" t="str">
        <f>IF(AND(Индексы!B16&gt;=Породы!$C$4,Индексы!B16&lt;=Породы!$D$4,Индексы!C16&gt;=Породы!$E$4,Индексы!C16&lt;=Породы!$F$4,Индексы!D16&gt;=Породы!$G$4,Индексы!D16&lt;=Породы!$H$4),IF(Индексы!B16&gt;0,Породы!$B$4," ")," ")</f>
        <v>Mellifera</v>
      </c>
      <c r="C17" s="31" t="str">
        <f>IF(AND(Индексы!B16&gt;=Породы!$C$5,Индексы!B16&lt;=Породы!$D$5,Индексы!C16&gt;=Породы!$E$5,Индексы!C16&lt;=Породы!$F$5,Индексы!D16&gt;=Породы!$G$5,Индексы!D16&lt;=Породы!$H$5),IF(Индексы!B16&gt;0,Породы!$B$5," ")," ")</f>
        <v xml:space="preserve"> </v>
      </c>
      <c r="D17" s="31" t="str">
        <f>IF(AND(Индексы!B16&gt;=Породы!$C$6,Индексы!B16&lt;=Породы!$D$6,Индексы!C16&gt;=Породы!$E$6,Индексы!C16&lt;=Породы!$F$6,Индексы!D16&gt;=Породы!$G$6,Индексы!D16&lt;=Породы!$H$6),IF(Индексы!B16&gt;0,Породы!$B$6," ")," ")</f>
        <v xml:space="preserve"> </v>
      </c>
      <c r="E17" s="31" t="str">
        <f>IF(AND(Индексы!B16&gt;=Породы!$C$7,Индексы!B16&lt;=Породы!$D$7,Индексы!C16&gt;=Породы!$E$7,Индексы!C16&lt;=Породы!$F$7,Индексы!D16&gt;=Породы!$G$7,Индексы!D16&lt;=Породы!$H$7),IF(Индексы!B16&gt;0,Породы!$B$7," ")," ")</f>
        <v xml:space="preserve"> </v>
      </c>
      <c r="F17" s="141">
        <f>IF(A17&gt;0,Индексы!B16,"")</f>
        <v>1.5963541551080593</v>
      </c>
      <c r="G17" s="240"/>
      <c r="H17" s="241"/>
      <c r="I17" s="241"/>
      <c r="J17" s="241"/>
      <c r="K17" s="242"/>
    </row>
    <row r="18" spans="1:11" ht="12.45" customHeight="1" thickBot="1" x14ac:dyDescent="0.3">
      <c r="A18" s="33">
        <f>Индексы!A17</f>
        <v>16</v>
      </c>
      <c r="B18" s="31" t="str">
        <f>IF(AND(Индексы!B17&gt;=Породы!$C$4,Индексы!B17&lt;=Породы!$D$4,Индексы!C17&gt;=Породы!$E$4,Индексы!C17&lt;=Породы!$F$4,Индексы!D17&gt;=Породы!$G$4,Индексы!D17&lt;=Породы!$H$4),IF(Индексы!B17&gt;0,Породы!$B$4," ")," ")</f>
        <v>Mellifera</v>
      </c>
      <c r="C18" s="31" t="str">
        <f>IF(AND(Индексы!B17&gt;=Породы!$C$5,Индексы!B17&lt;=Породы!$D$5,Индексы!C17&gt;=Породы!$E$5,Индексы!C17&lt;=Породы!$F$5,Индексы!D17&gt;=Породы!$G$5,Индексы!D17&lt;=Породы!$H$5),IF(Индексы!B17&gt;0,Породы!$B$5," ")," ")</f>
        <v xml:space="preserve"> </v>
      </c>
      <c r="D18" s="31" t="str">
        <f>IF(AND(Индексы!B17&gt;=Породы!$C$6,Индексы!B17&lt;=Породы!$D$6,Индексы!C17&gt;=Породы!$E$6,Индексы!C17&lt;=Породы!$F$6,Индексы!D17&gt;=Породы!$G$6,Индексы!D17&lt;=Породы!$H$6),IF(Индексы!B17&gt;0,Породы!$B$6," ")," ")</f>
        <v xml:space="preserve"> </v>
      </c>
      <c r="E18" s="31" t="str">
        <f>IF(AND(Индексы!B17&gt;=Породы!$C$7,Индексы!B17&lt;=Породы!$D$7,Индексы!C17&gt;=Породы!$E$7,Индексы!C17&lt;=Породы!$F$7,Индексы!D17&gt;=Породы!$G$7,Индексы!D17&lt;=Породы!$H$7),IF(Индексы!B17&gt;0,Породы!$B$7," ")," ")</f>
        <v xml:space="preserve"> </v>
      </c>
      <c r="F18" s="78">
        <f>IF(A18&gt;0,Индексы!B17,"")</f>
        <v>1.4964911953946169</v>
      </c>
      <c r="G18" s="35" t="s">
        <v>48</v>
      </c>
      <c r="H18" s="30"/>
      <c r="I18" s="30"/>
      <c r="J18" s="30"/>
      <c r="K18" s="30"/>
    </row>
    <row r="19" spans="1:11" ht="12.45" customHeight="1" x14ac:dyDescent="0.25">
      <c r="A19" s="33">
        <f>Индексы!A18</f>
        <v>17</v>
      </c>
      <c r="B19" s="31" t="str">
        <f>IF(AND(Индексы!B18&gt;=Породы!$C$4,Индексы!B18&lt;=Породы!$D$4,Индексы!C18&gt;=Породы!$E$4,Индексы!C18&lt;=Породы!$F$4,Индексы!D18&gt;=Породы!$G$4,Индексы!D18&lt;=Породы!$H$4),IF(Индексы!B18&gt;0,Породы!$B$4," ")," ")</f>
        <v>Mellifera</v>
      </c>
      <c r="C19" s="31" t="str">
        <f>IF(AND(Индексы!B18&gt;=Породы!$C$5,Индексы!B18&lt;=Породы!$D$5,Индексы!C18&gt;=Породы!$E$5,Индексы!C18&lt;=Породы!$F$5,Индексы!D18&gt;=Породы!$G$5,Индексы!D18&lt;=Породы!$H$5),IF(Индексы!B18&gt;0,Породы!$B$5," ")," ")</f>
        <v xml:space="preserve"> </v>
      </c>
      <c r="D19" s="31" t="str">
        <f>IF(AND(Индексы!B18&gt;=Породы!$C$6,Индексы!B18&lt;=Породы!$D$6,Индексы!C18&gt;=Породы!$E$6,Индексы!C18&lt;=Породы!$F$6,Индексы!D18&gt;=Породы!$G$6,Индексы!D18&lt;=Породы!$H$6),IF(Индексы!B18&gt;0,Породы!$B$6," ")," ")</f>
        <v xml:space="preserve"> </v>
      </c>
      <c r="E19" s="31" t="str">
        <f>IF(AND(Индексы!B18&gt;=Породы!$C$7,Индексы!B18&lt;=Породы!$D$7,Индексы!C18&gt;=Породы!$E$7,Индексы!C18&lt;=Породы!$F$7,Индексы!D18&gt;=Породы!$G$7,Индексы!D18&lt;=Породы!$H$7),IF(Индексы!B18&gt;0,Породы!$B$7," ")," ")</f>
        <v xml:space="preserve"> </v>
      </c>
      <c r="F19" s="78">
        <f>IF(A19&gt;0,Индексы!B18,"")</f>
        <v>1.5213083464463475</v>
      </c>
      <c r="G19" s="30"/>
      <c r="H19" s="225" t="s">
        <v>3</v>
      </c>
      <c r="I19" s="228" t="s">
        <v>33</v>
      </c>
      <c r="J19" s="215" t="s">
        <v>131</v>
      </c>
      <c r="K19" s="216"/>
    </row>
    <row r="20" spans="1:11" ht="12.45" customHeight="1" x14ac:dyDescent="0.25">
      <c r="A20" s="33">
        <f>Индексы!A19</f>
        <v>18</v>
      </c>
      <c r="B20" s="31" t="str">
        <f>IF(AND(Индексы!B19&gt;=Породы!$C$4,Индексы!B19&lt;=Породы!$D$4,Индексы!C19&gt;=Породы!$E$4,Индексы!C19&lt;=Породы!$F$4,Индексы!D19&gt;=Породы!$G$4,Индексы!D19&lt;=Породы!$H$4),IF(Индексы!B19&gt;0,Породы!$B$4," ")," ")</f>
        <v>Mellifera</v>
      </c>
      <c r="C20" s="31" t="str">
        <f>IF(AND(Индексы!B19&gt;=Породы!$C$5,Индексы!B19&lt;=Породы!$D$5,Индексы!C19&gt;=Породы!$E$5,Индексы!C19&lt;=Породы!$F$5,Индексы!D19&gt;=Породы!$G$5,Индексы!D19&lt;=Породы!$H$5),IF(Индексы!B19&gt;0,Породы!$B$5," ")," ")</f>
        <v xml:space="preserve"> </v>
      </c>
      <c r="D20" s="31" t="str">
        <f>IF(AND(Индексы!B19&gt;=Породы!$C$6,Индексы!B19&lt;=Породы!$D$6,Индексы!C19&gt;=Породы!$E$6,Индексы!C19&lt;=Породы!$F$6,Индексы!D19&gt;=Породы!$G$6,Индексы!D19&lt;=Породы!$H$6),IF(Индексы!B19&gt;0,Породы!$B$6," ")," ")</f>
        <v xml:space="preserve"> </v>
      </c>
      <c r="E20" s="31" t="str">
        <f>IF(AND(Индексы!B19&gt;=Породы!$C$7,Индексы!B19&lt;=Породы!$D$7,Индексы!C19&gt;=Породы!$E$7,Индексы!C19&lt;=Породы!$F$7,Индексы!D19&gt;=Породы!$G$7,Индексы!D19&lt;=Породы!$H$7),IF(Индексы!B19&gt;0,Породы!$B$7," ")," ")</f>
        <v xml:space="preserve"> </v>
      </c>
      <c r="F20" s="78">
        <f>IF(A20&gt;0,Индексы!B19,"")</f>
        <v>1.3651878800254351</v>
      </c>
      <c r="G20" s="30"/>
      <c r="H20" s="226"/>
      <c r="I20" s="229"/>
      <c r="J20" s="231" t="s">
        <v>133</v>
      </c>
      <c r="K20" s="232" t="s">
        <v>132</v>
      </c>
    </row>
    <row r="21" spans="1:11" ht="12.45" customHeight="1" x14ac:dyDescent="0.25">
      <c r="A21" s="33">
        <f>Индексы!A20</f>
        <v>19</v>
      </c>
      <c r="B21" s="31" t="str">
        <f>IF(AND(Индексы!B20&gt;=Породы!$C$4,Индексы!B20&lt;=Породы!$D$4,Индексы!C20&gt;=Породы!$E$4,Индексы!C20&lt;=Породы!$F$4,Индексы!D20&gt;=Породы!$G$4,Индексы!D20&lt;=Породы!$H$4),IF(Индексы!B20&gt;0,Породы!$B$4," ")," ")</f>
        <v>Mellifera</v>
      </c>
      <c r="C21" s="31" t="str">
        <f>IF(AND(Индексы!B20&gt;=Породы!$C$5,Индексы!B20&lt;=Породы!$D$5,Индексы!C20&gt;=Породы!$E$5,Индексы!C20&lt;=Породы!$F$5,Индексы!D20&gt;=Породы!$G$5,Индексы!D20&lt;=Породы!$H$5),IF(Индексы!B20&gt;0,Породы!$B$5," ")," ")</f>
        <v xml:space="preserve"> </v>
      </c>
      <c r="D21" s="31" t="str">
        <f>IF(AND(Индексы!B20&gt;=Породы!$C$6,Индексы!B20&lt;=Породы!$D$6,Индексы!C20&gt;=Породы!$E$6,Индексы!C20&lt;=Породы!$F$6,Индексы!D20&gt;=Породы!$G$6,Индексы!D20&lt;=Породы!$H$6),IF(Индексы!B20&gt;0,Породы!$B$6," ")," ")</f>
        <v xml:space="preserve"> </v>
      </c>
      <c r="E21" s="31" t="str">
        <f>IF(AND(Индексы!B20&gt;=Породы!$C$7,Индексы!B20&lt;=Породы!$D$7,Индексы!C20&gt;=Породы!$E$7,Индексы!C20&lt;=Породы!$F$7,Индексы!D20&gt;=Породы!$G$7,Индексы!D20&lt;=Породы!$H$7),IF(Индексы!B20&gt;0,Породы!$B$7," ")," ")</f>
        <v xml:space="preserve"> </v>
      </c>
      <c r="F21" s="78">
        <f>IF(A21&gt;0,Индексы!B20,"")</f>
        <v>1.4202825916269763</v>
      </c>
      <c r="G21" s="30"/>
      <c r="H21" s="226"/>
      <c r="I21" s="229"/>
      <c r="J21" s="231"/>
      <c r="K21" s="232"/>
    </row>
    <row r="22" spans="1:11" ht="12.45" customHeight="1" x14ac:dyDescent="0.25">
      <c r="A22" s="33">
        <f>Индексы!A21</f>
        <v>20</v>
      </c>
      <c r="B22" s="31" t="str">
        <f>IF(AND(Индексы!B21&gt;=Породы!$C$4,Индексы!B21&lt;=Породы!$D$4,Индексы!C21&gt;=Породы!$E$4,Индексы!C21&lt;=Породы!$F$4,Индексы!D21&gt;=Породы!$G$4,Индексы!D21&lt;=Породы!$H$4),IF(Индексы!B21&gt;0,Породы!$B$4," ")," ")</f>
        <v>Mellifera</v>
      </c>
      <c r="C22" s="31" t="str">
        <f>IF(AND(Индексы!B21&gt;=Породы!$C$5,Индексы!B21&lt;=Породы!$D$5,Индексы!C21&gt;=Породы!$E$5,Индексы!C21&lt;=Породы!$F$5,Индексы!D21&gt;=Породы!$G$5,Индексы!D21&lt;=Породы!$H$5),IF(Индексы!B21&gt;0,Породы!$B$5," ")," ")</f>
        <v xml:space="preserve"> </v>
      </c>
      <c r="D22" s="31" t="str">
        <f>IF(AND(Индексы!B21&gt;=Породы!$C$6,Индексы!B21&lt;=Породы!$D$6,Индексы!C21&gt;=Породы!$E$6,Индексы!C21&lt;=Породы!$F$6,Индексы!D21&gt;=Породы!$G$6,Индексы!D21&lt;=Породы!$H$6),IF(Индексы!B21&gt;0,Породы!$B$6," ")," ")</f>
        <v xml:space="preserve"> </v>
      </c>
      <c r="E22" s="31" t="str">
        <f>IF(AND(Индексы!B21&gt;=Породы!$C$7,Индексы!B21&lt;=Породы!$D$7,Индексы!C21&gt;=Породы!$E$7,Индексы!C21&lt;=Породы!$F$7,Индексы!D21&gt;=Породы!$G$7,Индексы!D21&lt;=Породы!$H$7),IF(Индексы!B21&gt;0,Породы!$B$7," ")," ")</f>
        <v xml:space="preserve"> </v>
      </c>
      <c r="F22" s="78">
        <f>IF(A22&gt;0,Индексы!B21,"")</f>
        <v>1.3981872933510322</v>
      </c>
      <c r="G22" s="30"/>
      <c r="H22" s="227"/>
      <c r="I22" s="230"/>
      <c r="J22" s="230"/>
      <c r="K22" s="233"/>
    </row>
    <row r="23" spans="1:11" ht="12.45" customHeight="1" x14ac:dyDescent="0.25">
      <c r="A23" s="33">
        <f>Индексы!A22</f>
        <v>21</v>
      </c>
      <c r="B23" s="31" t="str">
        <f>IF(AND(Индексы!B22&gt;=Породы!$C$4,Индексы!B22&lt;=Породы!$D$4,Индексы!C22&gt;=Породы!$E$4,Индексы!C22&lt;=Породы!$F$4,Индексы!D22&gt;=Породы!$G$4,Индексы!D22&lt;=Породы!$H$4),IF(Индексы!B22&gt;0,Породы!$B$4," ")," ")</f>
        <v>Mellifera</v>
      </c>
      <c r="C23" s="31" t="str">
        <f>IF(AND(Индексы!B22&gt;=Породы!$C$5,Индексы!B22&lt;=Породы!$D$5,Индексы!C22&gt;=Породы!$E$5,Индексы!C22&lt;=Породы!$F$5,Индексы!D22&gt;=Породы!$G$5,Индексы!D22&lt;=Породы!$H$5),IF(Индексы!B22&gt;0,Породы!$B$5," ")," ")</f>
        <v xml:space="preserve"> </v>
      </c>
      <c r="D23" s="31" t="str">
        <f>IF(AND(Индексы!B22&gt;=Породы!$C$6,Индексы!B22&lt;=Породы!$D$6,Индексы!C22&gt;=Породы!$E$6,Индексы!C22&lt;=Породы!$F$6,Индексы!D22&gt;=Породы!$G$6,Индексы!D22&lt;=Породы!$H$6),IF(Индексы!B22&gt;0,Породы!$B$6," ")," ")</f>
        <v xml:space="preserve"> </v>
      </c>
      <c r="E23" s="31" t="str">
        <f>IF(AND(Индексы!B22&gt;=Породы!$C$7,Индексы!B22&lt;=Породы!$D$7,Индексы!C22&gt;=Породы!$E$7,Индексы!C22&lt;=Породы!$F$7,Индексы!D22&gt;=Породы!$G$7,Индексы!D22&lt;=Породы!$H$7),IF(Индексы!B22&gt;0,Породы!$B$7," ")," ")</f>
        <v xml:space="preserve"> </v>
      </c>
      <c r="F23" s="78">
        <f>IF(A23&gt;0,Индексы!B22,"")</f>
        <v>1.3397511506515163</v>
      </c>
      <c r="G23" s="30"/>
      <c r="H23" s="36" t="str">
        <f>Породы!B4</f>
        <v>Mellifera</v>
      </c>
      <c r="I23" s="27">
        <f>COUNTIF($B$3:$E$102,Породы!B4)</f>
        <v>30</v>
      </c>
      <c r="J23" s="37">
        <f>ROUND(I23/COUNTIF(Индексы!$B$2:$B$101,"&gt;0"),3)</f>
        <v>1</v>
      </c>
      <c r="K23" s="115">
        <f>IF(AND(Индексы!B109&gt;=Породы!C4,Индексы!B108&lt;=Породы!D4),(IF(Индексы!$B$109&gt;=Породы!D4,Породы!D4,Индексы!$B$109)-IF(Индексы!$B$108&gt;=Породы!C4,Индексы!$B$108,Породы!C4)),0)*IF(AND(Индексы!C109&gt;=Породы!E4,Индексы!C108&lt;=Породы!F4),(IF(Индексы!$C$109&gt;=Породы!F4,Породы!F4,Индексы!$C$109)-IF(Индексы!$C$108&gt;=Породы!E4,Индексы!$C$108,Породы!E4)),0)*IF(AND(Индексы!D109&gt;=Породы!G4,Индексы!D108&lt;=Породы!H4),(IF(Индексы!$D$109&gt;=Породы!H4,Породы!H4,Индексы!$D$109)-IF(Индексы!$D$108&gt;=Породы!G4,Индексы!$D$108,Породы!G4)),0)/((Индексы!$B$109-Индексы!$B$108)*(Индексы!$C$109-Индексы!$C$108)*(Индексы!$D$109-Индексы!$D$108))</f>
        <v>0.94598101561867198</v>
      </c>
    </row>
    <row r="24" spans="1:11" ht="12.45" customHeight="1" x14ac:dyDescent="0.25">
      <c r="A24" s="33">
        <f>Индексы!A23</f>
        <v>22</v>
      </c>
      <c r="B24" s="31" t="str">
        <f>IF(AND(Индексы!B23&gt;=Породы!$C$4,Индексы!B23&lt;=Породы!$D$4,Индексы!C23&gt;=Породы!$E$4,Индексы!C23&lt;=Породы!$F$4,Индексы!D23&gt;=Породы!$G$4,Индексы!D23&lt;=Породы!$H$4),IF(Индексы!B23&gt;0,Породы!$B$4," ")," ")</f>
        <v>Mellifera</v>
      </c>
      <c r="C24" s="31" t="str">
        <f>IF(AND(Индексы!B23&gt;=Породы!$C$5,Индексы!B23&lt;=Породы!$D$5,Индексы!C23&gt;=Породы!$E$5,Индексы!C23&lt;=Породы!$F$5,Индексы!D23&gt;=Породы!$G$5,Индексы!D23&lt;=Породы!$H$5),IF(Индексы!B23&gt;0,Породы!$B$5," ")," ")</f>
        <v xml:space="preserve"> </v>
      </c>
      <c r="D24" s="31" t="str">
        <f>IF(AND(Индексы!B23&gt;=Породы!$C$6,Индексы!B23&lt;=Породы!$D$6,Индексы!C23&gt;=Породы!$E$6,Индексы!C23&lt;=Породы!$F$6,Индексы!D23&gt;=Породы!$G$6,Индексы!D23&lt;=Породы!$H$6),IF(Индексы!B23&gt;0,Породы!$B$6," ")," ")</f>
        <v xml:space="preserve"> </v>
      </c>
      <c r="E24" s="31" t="str">
        <f>IF(AND(Индексы!B23&gt;=Породы!$C$7,Индексы!B23&lt;=Породы!$D$7,Индексы!C23&gt;=Породы!$E$7,Индексы!C23&lt;=Породы!$F$7,Индексы!D23&gt;=Породы!$G$7,Индексы!D23&lt;=Породы!$H$7),IF(Индексы!B23&gt;0,Породы!$B$7," ")," ")</f>
        <v xml:space="preserve"> </v>
      </c>
      <c r="F24" s="78">
        <f>IF(A24&gt;0,Индексы!B23,"")</f>
        <v>1.3991932779235556</v>
      </c>
      <c r="G24" s="30"/>
      <c r="H24" s="38" t="str">
        <f>Породы!B5</f>
        <v>Caucasica</v>
      </c>
      <c r="I24" s="39">
        <f>COUNTIF($B$3:$E$102,Породы!B5)</f>
        <v>0</v>
      </c>
      <c r="J24" s="40">
        <f>ROUND(I24/COUNTIF(Индексы!$B$2:$B$101,"&gt;0"),3)</f>
        <v>0</v>
      </c>
      <c r="K24" s="116">
        <f>IF(AND(Индексы!B109&gt;=Породы!C5,Индексы!B108&lt;=Породы!D5),(IF(Индексы!$B$109&gt;=Породы!D5,Породы!D5,Индексы!$B$109)-IF(Индексы!$B$108&gt;=Породы!C5,Индексы!$B$108,Породы!C5)),0)*IF(AND(Индексы!C109&gt;=Породы!E5,Индексы!C108&lt;=Породы!F5),(IF(Индексы!$C$109&gt;=Породы!F5,Породы!F5,Индексы!$C$109)-IF(Индексы!$C$108&gt;=Породы!E5,Индексы!$C$108,Породы!E5)),0)*IF(AND(Индексы!D109&gt;=Породы!G5,Индексы!D108&lt;=Породы!H5),(IF(Индексы!$D$109&gt;=Породы!H5,Породы!H5,Индексы!$D$109)-IF(Индексы!$D$108&gt;=Породы!G5,Индексы!$D$108,Породы!G5)),0)/((Индексы!$B$109-Индексы!$B$108)*(Индексы!$C$109-Индексы!$C$108)*(Индексы!$D$109-Индексы!$D$108))</f>
        <v>0</v>
      </c>
    </row>
    <row r="25" spans="1:11" ht="12.45" customHeight="1" x14ac:dyDescent="0.25">
      <c r="A25" s="33">
        <f>Индексы!A24</f>
        <v>23</v>
      </c>
      <c r="B25" s="31" t="str">
        <f>IF(AND(Индексы!B24&gt;=Породы!$C$4,Индексы!B24&lt;=Породы!$D$4,Индексы!C24&gt;=Породы!$E$4,Индексы!C24&lt;=Породы!$F$4,Индексы!D24&gt;=Породы!$G$4,Индексы!D24&lt;=Породы!$H$4),IF(Индексы!B24&gt;0,Породы!$B$4," ")," ")</f>
        <v>Mellifera</v>
      </c>
      <c r="C25" s="31" t="str">
        <f>IF(AND(Индексы!B24&gt;=Породы!$C$5,Индексы!B24&lt;=Породы!$D$5,Индексы!C24&gt;=Породы!$E$5,Индексы!C24&lt;=Породы!$F$5,Индексы!D24&gt;=Породы!$G$5,Индексы!D24&lt;=Породы!$H$5),IF(Индексы!B24&gt;0,Породы!$B$5," ")," ")</f>
        <v xml:space="preserve"> </v>
      </c>
      <c r="D25" s="31" t="str">
        <f>IF(AND(Индексы!B24&gt;=Породы!$C$6,Индексы!B24&lt;=Породы!$D$6,Индексы!C24&gt;=Породы!$E$6,Индексы!C24&lt;=Породы!$F$6,Индексы!D24&gt;=Породы!$G$6,Индексы!D24&lt;=Породы!$H$6),IF(Индексы!B24&gt;0,Породы!$B$6," ")," ")</f>
        <v xml:space="preserve"> </v>
      </c>
      <c r="E25" s="31" t="str">
        <f>IF(AND(Индексы!B24&gt;=Породы!$C$7,Индексы!B24&lt;=Породы!$D$7,Индексы!C24&gt;=Породы!$E$7,Индексы!C24&lt;=Породы!$F$7,Индексы!D24&gt;=Породы!$G$7,Индексы!D24&lt;=Породы!$H$7),IF(Индексы!B24&gt;0,Породы!$B$7," ")," ")</f>
        <v xml:space="preserve"> </v>
      </c>
      <c r="F25" s="78">
        <f>IF(A25&gt;0,Индексы!B24,"")</f>
        <v>1.4383727883864668</v>
      </c>
      <c r="G25" s="30"/>
      <c r="H25" s="41" t="str">
        <f>Породы!B6</f>
        <v>Ligustica</v>
      </c>
      <c r="I25" s="42">
        <f>COUNTIF($B$3:$E$102,Породы!B6)</f>
        <v>0</v>
      </c>
      <c r="J25" s="43">
        <f>ROUND(I25/COUNTIF(Индексы!$B$2:$B$101,"&gt;0"),3)</f>
        <v>0</v>
      </c>
      <c r="K25" s="117">
        <f>IF(AND(Индексы!B109&gt;=Породы!C6,Индексы!B108&lt;=Породы!D6),(IF(Индексы!$B$109&gt;=Породы!D6,Породы!D6,Индексы!$B$109)-IF(Индексы!$B$108&gt;=Породы!C6,Индексы!$B$108,Породы!C6)),0)*IF(AND(Индексы!D109&gt;=Породы!G6,Индексы!D108&lt;=Породы!H6),(IF(Индексы!$C$109&gt;=Породы!F6,Породы!F6,Индексы!$C$109)-IF(Индексы!$C$108&gt;=Породы!E6,Индексы!$C$108,Породы!E6)),0)*IF(AND(Индексы!D109&gt;=Породы!G6,Индексы!D108&lt;=Породы!H6),(IF(Индексы!$D$109&gt;=Породы!H6,Породы!H6,Индексы!$D$109)-IF(Индексы!$D$108&gt;=Породы!G6,Индексы!$D$108,Породы!G6)),0)/((Индексы!$B$109-Индексы!$B$108)*(Индексы!$C$109-Индексы!$C$108)*(Индексы!$D$109-Индексы!$D$108))</f>
        <v>0</v>
      </c>
    </row>
    <row r="26" spans="1:11" ht="12.45" customHeight="1" thickBot="1" x14ac:dyDescent="0.3">
      <c r="A26" s="33">
        <f>Индексы!A25</f>
        <v>24</v>
      </c>
      <c r="B26" s="31" t="str">
        <f>IF(AND(Индексы!B25&gt;=Породы!$C$4,Индексы!B25&lt;=Породы!$D$4,Индексы!C25&gt;=Породы!$E$4,Индексы!C25&lt;=Породы!$F$4,Индексы!D25&gt;=Породы!$G$4,Индексы!D25&lt;=Породы!$H$4),IF(Индексы!B25&gt;0,Породы!$B$4," ")," ")</f>
        <v>Mellifera</v>
      </c>
      <c r="C26" s="31" t="str">
        <f>IF(AND(Индексы!B25&gt;=Породы!$C$5,Индексы!B25&lt;=Породы!$D$5,Индексы!C25&gt;=Породы!$E$5,Индексы!C25&lt;=Породы!$F$5,Индексы!D25&gt;=Породы!$G$5,Индексы!D25&lt;=Породы!$H$5),IF(Индексы!B25&gt;0,Породы!$B$5," ")," ")</f>
        <v xml:space="preserve"> </v>
      </c>
      <c r="D26" s="31" t="str">
        <f>IF(AND(Индексы!B25&gt;=Породы!$C$6,Индексы!B25&lt;=Породы!$D$6,Индексы!C25&gt;=Породы!$E$6,Индексы!C25&lt;=Породы!$F$6,Индексы!D25&gt;=Породы!$G$6,Индексы!D25&lt;=Породы!$H$6),IF(Индексы!B25&gt;0,Породы!$B$6," ")," ")</f>
        <v xml:space="preserve"> </v>
      </c>
      <c r="E26" s="31" t="str">
        <f>IF(AND(Индексы!B25&gt;=Породы!$C$7,Индексы!B25&lt;=Породы!$D$7,Индексы!C25&gt;=Породы!$E$7,Индексы!C25&lt;=Породы!$F$7,Индексы!D25&gt;=Породы!$G$7,Индексы!D25&lt;=Породы!$H$7),IF(Индексы!B25&gt;0,Породы!$B$7," ")," ")</f>
        <v xml:space="preserve"> </v>
      </c>
      <c r="F26" s="78">
        <f>IF(A26&gt;0,Индексы!B25,"")</f>
        <v>1.4613188834353577</v>
      </c>
      <c r="G26" s="47"/>
      <c r="H26" s="44" t="str">
        <f>Породы!B7</f>
        <v>Carnica</v>
      </c>
      <c r="I26" s="45">
        <f>COUNTIF($B$3:$E$102,Породы!B7)</f>
        <v>0</v>
      </c>
      <c r="J26" s="46">
        <f>ROUND(I26/COUNTIF(Индексы!$B$2:$B$101,"&gt;0"),3)</f>
        <v>0</v>
      </c>
      <c r="K26" s="118">
        <f>IF(AND(Индексы!B109&gt;=Породы!C7,Индексы!B108&lt;=Породы!D7),(IF(Индексы!$B$109&gt;=Породы!D7,Породы!D7,Индексы!$B$109)-IF(Индексы!$B$108&gt;=Породы!C7,Индексы!$B$108,Породы!C7)),0)*IF(AND(Индексы!D109&gt;=Породы!G7,Индексы!D108&lt;=Породы!H7),(IF(Индексы!$C$109&gt;=Породы!F7,Породы!F7,Индексы!$C$109)-IF(Индексы!$C$108&gt;=Породы!E7,Индексы!$C$108,Породы!E7)),0)*IF(AND(Индексы!D109&gt;=Породы!G7,Индексы!D108&lt;=Породы!H7),(IF(Индексы!$D$109&gt;=Породы!H7,Породы!H7,Индексы!$D$109)-IF(Индексы!$D$108&gt;=Породы!G7,Индексы!$D$108,Породы!G7)),0)/((Индексы!$B$109-Индексы!$B$108)*(Индексы!$C$109-Индексы!$C$108)*(Индексы!$D$109-Индексы!$D$108))</f>
        <v>0</v>
      </c>
    </row>
    <row r="27" spans="1:11" ht="13.2" customHeight="1" thickBot="1" x14ac:dyDescent="0.3">
      <c r="A27" s="33">
        <f>Индексы!A26</f>
        <v>25</v>
      </c>
      <c r="B27" s="31" t="str">
        <f>IF(AND(Индексы!B26&gt;=Породы!$C$4,Индексы!B26&lt;=Породы!$D$4,Индексы!C26&gt;=Породы!$E$4,Индексы!C26&lt;=Породы!$F$4,Индексы!D26&gt;=Породы!$G$4,Индексы!D26&lt;=Породы!$H$4),IF(Индексы!B26&gt;0,Породы!$B$4," ")," ")</f>
        <v>Mellifera</v>
      </c>
      <c r="C27" s="31" t="str">
        <f>IF(AND(Индексы!B26&gt;=Породы!$C$5,Индексы!B26&lt;=Породы!$D$5,Индексы!C26&gt;=Породы!$E$5,Индексы!C26&lt;=Породы!$F$5,Индексы!D26&gt;=Породы!$G$5,Индексы!D26&lt;=Породы!$H$5),IF(Индексы!B26&gt;0,Породы!$B$5," ")," ")</f>
        <v xml:space="preserve"> </v>
      </c>
      <c r="D27" s="31" t="str">
        <f>IF(AND(Индексы!B26&gt;=Породы!$C$6,Индексы!B26&lt;=Породы!$D$6,Индексы!C26&gt;=Породы!$E$6,Индексы!C26&lt;=Породы!$F$6,Индексы!D26&gt;=Породы!$G$6,Индексы!D26&lt;=Породы!$H$6),IF(Индексы!B26&gt;0,Породы!$B$6," ")," ")</f>
        <v xml:space="preserve"> </v>
      </c>
      <c r="E27" s="31" t="str">
        <f>IF(AND(Индексы!B26&gt;=Породы!$C$7,Индексы!B26&lt;=Породы!$D$7,Индексы!C26&gt;=Породы!$E$7,Индексы!C26&lt;=Породы!$F$7,Индексы!D26&gt;=Породы!$G$7,Индексы!D26&lt;=Породы!$H$7),IF(Индексы!B26&gt;0,Породы!$B$7," ")," ")</f>
        <v xml:space="preserve"> </v>
      </c>
      <c r="F27" s="78">
        <f>IF(A27&gt;0,Индексы!B26,"")</f>
        <v>1.5122216033726252</v>
      </c>
      <c r="G27" s="48"/>
      <c r="H27" s="47"/>
      <c r="I27" s="47"/>
      <c r="J27" s="47"/>
      <c r="K27" s="30"/>
    </row>
    <row r="28" spans="1:11" x14ac:dyDescent="0.25">
      <c r="A28" s="33">
        <f>Индексы!A27</f>
        <v>26</v>
      </c>
      <c r="B28" s="31" t="str">
        <f>IF(AND(Индексы!B27&gt;=Породы!$C$4,Индексы!B27&lt;=Породы!$D$4,Индексы!C27&gt;=Породы!$E$4,Индексы!C27&lt;=Породы!$F$4,Индексы!D27&gt;=Породы!$G$4,Индексы!D27&lt;=Породы!$H$4),IF(Индексы!B27&gt;0,Породы!$B$4," ")," ")</f>
        <v>Mellifera</v>
      </c>
      <c r="C28" s="31" t="str">
        <f>IF(AND(Индексы!B27&gt;=Породы!$C$5,Индексы!B27&lt;=Породы!$D$5,Индексы!C27&gt;=Породы!$E$5,Индексы!C27&lt;=Породы!$F$5,Индексы!D27&gt;=Породы!$G$5,Индексы!D27&lt;=Породы!$H$5),IF(Индексы!B27&gt;0,Породы!$B$5," ")," ")</f>
        <v xml:space="preserve"> </v>
      </c>
      <c r="D28" s="31" t="str">
        <f>IF(AND(Индексы!B27&gt;=Породы!$C$6,Индексы!B27&lt;=Породы!$D$6,Индексы!C27&gt;=Породы!$E$6,Индексы!C27&lt;=Породы!$F$6,Индексы!D27&gt;=Породы!$G$6,Индексы!D27&lt;=Породы!$H$6),IF(Индексы!B27&gt;0,Породы!$B$6," ")," ")</f>
        <v xml:space="preserve"> </v>
      </c>
      <c r="E28" s="31" t="str">
        <f>IF(AND(Индексы!B27&gt;=Породы!$C$7,Индексы!B27&lt;=Породы!$D$7,Индексы!C27&gt;=Породы!$E$7,Индексы!C27&lt;=Породы!$F$7,Индексы!D27&gt;=Породы!$G$7,Индексы!D27&lt;=Породы!$H$7),IF(Индексы!B27&gt;0,Породы!$B$7," ")," ")</f>
        <v xml:space="preserve"> </v>
      </c>
      <c r="F28" s="78">
        <f>IF(A28&gt;0,Индексы!B27,"")</f>
        <v>1.1265890995242667</v>
      </c>
      <c r="G28" s="30"/>
      <c r="H28" s="219" t="str">
        <f ca="1">"Исследуемая семья максимально пригодна: "&amp;IF(Анализ!C26="пригодна",Анализ!B26,IF(Анализ!C27="пригодна",Анализ!B27,IF(Анализ!C28="пригодна",Анализ!B28,IF(Анализ!C29="пригодна",Анализ!B29,"не пригодна"))))</f>
        <v>Исследуемая семья максимально пригодна:  - в качестве родоначальницы линии**</v>
      </c>
      <c r="I28" s="220"/>
      <c r="J28" s="220"/>
      <c r="K28" s="221"/>
    </row>
    <row r="29" spans="1:11" ht="13.8" thickBot="1" x14ac:dyDescent="0.3">
      <c r="A29" s="33">
        <f>Индексы!A28</f>
        <v>27</v>
      </c>
      <c r="B29" s="31" t="str">
        <f>IF(AND(Индексы!B28&gt;=Породы!$C$4,Индексы!B28&lt;=Породы!$D$4,Индексы!C28&gt;=Породы!$E$4,Индексы!C28&lt;=Породы!$F$4,Индексы!D28&gt;=Породы!$G$4,Индексы!D28&lt;=Породы!$H$4),IF(Индексы!B28&gt;0,Породы!$B$4," ")," ")</f>
        <v>Mellifera</v>
      </c>
      <c r="C29" s="31" t="str">
        <f>IF(AND(Индексы!B28&gt;=Породы!$C$5,Индексы!B28&lt;=Породы!$D$5,Индексы!C28&gt;=Породы!$E$5,Индексы!C28&lt;=Породы!$F$5,Индексы!D28&gt;=Породы!$G$5,Индексы!D28&lt;=Породы!$H$5),IF(Индексы!B28&gt;0,Породы!$B$5," ")," ")</f>
        <v xml:space="preserve"> </v>
      </c>
      <c r="D29" s="31" t="str">
        <f>IF(AND(Индексы!B28&gt;=Породы!$C$6,Индексы!B28&lt;=Породы!$D$6,Индексы!C28&gt;=Породы!$E$6,Индексы!C28&lt;=Породы!$F$6,Индексы!D28&gt;=Породы!$G$6,Индексы!D28&lt;=Породы!$H$6),IF(Индексы!B28&gt;0,Породы!$B$6," ")," ")</f>
        <v xml:space="preserve"> </v>
      </c>
      <c r="E29" s="31" t="str">
        <f>IF(AND(Индексы!B28&gt;=Породы!$C$7,Индексы!B28&lt;=Породы!$D$7,Индексы!C28&gt;=Породы!$E$7,Индексы!C28&lt;=Породы!$F$7,Индексы!D28&gt;=Породы!$G$7,Индексы!D28&lt;=Породы!$H$7),IF(Индексы!B28&gt;0,Породы!$B$7," ")," ")</f>
        <v xml:space="preserve"> </v>
      </c>
      <c r="F29" s="78">
        <f>IF(A29&gt;0,Индексы!B28,"")</f>
        <v>1.3395313136677256</v>
      </c>
      <c r="H29" s="222"/>
      <c r="I29" s="223"/>
      <c r="J29" s="223"/>
      <c r="K29" s="224"/>
    </row>
    <row r="30" spans="1:11" x14ac:dyDescent="0.25">
      <c r="A30" s="33">
        <f>Индексы!A29</f>
        <v>28</v>
      </c>
      <c r="B30" s="31" t="str">
        <f>IF(AND(Индексы!B29&gt;=Породы!$C$4,Индексы!B29&lt;=Породы!$D$4,Индексы!C29&gt;=Породы!$E$4,Индексы!C29&lt;=Породы!$F$4,Индексы!D29&gt;=Породы!$G$4,Индексы!D29&lt;=Породы!$H$4),IF(Индексы!B29&gt;0,Породы!$B$4," ")," ")</f>
        <v>Mellifera</v>
      </c>
      <c r="C30" s="31" t="str">
        <f>IF(AND(Индексы!B29&gt;=Породы!$C$5,Индексы!B29&lt;=Породы!$D$5,Индексы!C29&gt;=Породы!$E$5,Индексы!C29&lt;=Породы!$F$5,Индексы!D29&gt;=Породы!$G$5,Индексы!D29&lt;=Породы!$H$5),IF(Индексы!B29&gt;0,Породы!$B$5," ")," ")</f>
        <v xml:space="preserve"> </v>
      </c>
      <c r="D30" s="31" t="str">
        <f>IF(AND(Индексы!B29&gt;=Породы!$C$6,Индексы!B29&lt;=Породы!$D$6,Индексы!C29&gt;=Породы!$E$6,Индексы!C29&lt;=Породы!$F$6,Индексы!D29&gt;=Породы!$G$6,Индексы!D29&lt;=Породы!$H$6),IF(Индексы!B29&gt;0,Породы!$B$6," ")," ")</f>
        <v xml:space="preserve"> </v>
      </c>
      <c r="E30" s="31" t="str">
        <f>IF(AND(Индексы!B29&gt;=Породы!$C$7,Индексы!B29&lt;=Породы!$D$7,Индексы!C29&gt;=Породы!$E$7,Индексы!C29&lt;=Породы!$F$7,Индексы!D29&gt;=Породы!$G$7,Индексы!D29&lt;=Породы!$H$7),IF(Индексы!B29&gt;0,Породы!$B$7," ")," ")</f>
        <v xml:space="preserve"> </v>
      </c>
      <c r="F30" s="78">
        <f>IF(A30&gt;0,Индексы!B29,"")</f>
        <v>1.3507880663566374</v>
      </c>
    </row>
    <row r="31" spans="1:11" x14ac:dyDescent="0.25">
      <c r="A31" s="33">
        <f>Индексы!A30</f>
        <v>29</v>
      </c>
      <c r="B31" s="31" t="str">
        <f>IF(AND(Индексы!B30&gt;=Породы!$C$4,Индексы!B30&lt;=Породы!$D$4,Индексы!C30&gt;=Породы!$E$4,Индексы!C30&lt;=Породы!$F$4,Индексы!D30&gt;=Породы!$G$4,Индексы!D30&lt;=Породы!$H$4),IF(Индексы!B30&gt;0,Породы!$B$4," ")," ")</f>
        <v>Mellifera</v>
      </c>
      <c r="C31" s="31" t="str">
        <f>IF(AND(Индексы!B30&gt;=Породы!$C$5,Индексы!B30&lt;=Породы!$D$5,Индексы!C30&gt;=Породы!$E$5,Индексы!C30&lt;=Породы!$F$5,Индексы!D30&gt;=Породы!$G$5,Индексы!D30&lt;=Породы!$H$5),IF(Индексы!B30&gt;0,Породы!$B$5," ")," ")</f>
        <v xml:space="preserve"> </v>
      </c>
      <c r="D31" s="31" t="str">
        <f>IF(AND(Индексы!B30&gt;=Породы!$C$6,Индексы!B30&lt;=Породы!$D$6,Индексы!C30&gt;=Породы!$E$6,Индексы!C30&lt;=Породы!$F$6,Индексы!D30&gt;=Породы!$G$6,Индексы!D30&lt;=Породы!$H$6),IF(Индексы!B30&gt;0,Породы!$B$6," ")," ")</f>
        <v xml:space="preserve"> </v>
      </c>
      <c r="E31" s="31" t="str">
        <f>IF(AND(Индексы!B30&gt;=Породы!$C$7,Индексы!B30&lt;=Породы!$D$7,Индексы!C30&gt;=Породы!$E$7,Индексы!C30&lt;=Породы!$F$7,Индексы!D30&gt;=Породы!$G$7,Индексы!D30&lt;=Породы!$H$7),IF(Индексы!B30&gt;0,Породы!$B$7," ")," ")</f>
        <v xml:space="preserve"> </v>
      </c>
      <c r="F31" s="78">
        <f>IF(A31&gt;0,Индексы!B30,"")</f>
        <v>1.4159465909295745</v>
      </c>
    </row>
    <row r="32" spans="1:11" x14ac:dyDescent="0.25">
      <c r="A32" s="33">
        <f>Индексы!A31</f>
        <v>30</v>
      </c>
      <c r="B32" s="31" t="str">
        <f>IF(AND(Индексы!B31&gt;=Породы!$C$4,Индексы!B31&lt;=Породы!$D$4,Индексы!C31&gt;=Породы!$E$4,Индексы!C31&lt;=Породы!$F$4,Индексы!D31&gt;=Породы!$G$4,Индексы!D31&lt;=Породы!$H$4),IF(Индексы!B31&gt;0,Породы!$B$4," ")," ")</f>
        <v>Mellifera</v>
      </c>
      <c r="C32" s="31" t="str">
        <f>IF(AND(Индексы!B31&gt;=Породы!$C$5,Индексы!B31&lt;=Породы!$D$5,Индексы!C31&gt;=Породы!$E$5,Индексы!C31&lt;=Породы!$F$5,Индексы!D31&gt;=Породы!$G$5,Индексы!D31&lt;=Породы!$H$5),IF(Индексы!B31&gt;0,Породы!$B$5," ")," ")</f>
        <v xml:space="preserve"> </v>
      </c>
      <c r="D32" s="31" t="str">
        <f>IF(AND(Индексы!B31&gt;=Породы!$C$6,Индексы!B31&lt;=Породы!$D$6,Индексы!C31&gt;=Породы!$E$6,Индексы!C31&lt;=Породы!$F$6,Индексы!D31&gt;=Породы!$G$6,Индексы!D31&lt;=Породы!$H$6),IF(Индексы!B31&gt;0,Породы!$B$6," ")," ")</f>
        <v xml:space="preserve"> </v>
      </c>
      <c r="E32" s="31" t="str">
        <f>IF(AND(Индексы!B31&gt;=Породы!$C$7,Индексы!B31&lt;=Породы!$D$7,Индексы!C31&gt;=Породы!$E$7,Индексы!C31&lt;=Породы!$F$7,Индексы!D31&gt;=Породы!$G$7,Индексы!D31&lt;=Породы!$H$7),IF(Индексы!B31&gt;0,Породы!$B$7," ")," ")</f>
        <v xml:space="preserve"> </v>
      </c>
      <c r="F32" s="78">
        <f>IF(A32&gt;0,Индексы!B31,"")</f>
        <v>1.2625144360472995</v>
      </c>
    </row>
    <row r="33" spans="1:6" x14ac:dyDescent="0.25">
      <c r="A33" s="33">
        <f>Индексы!A32</f>
        <v>0</v>
      </c>
      <c r="B33" s="31" t="str">
        <f>IF(AND(Индексы!B32&gt;=Породы!$C$4,Индексы!B32&lt;=Породы!$D$4,Индексы!C32&gt;=Породы!$E$4,Индексы!C32&lt;=Породы!$F$4,Индексы!D32&gt;=Породы!$G$4,Индексы!D32&lt;=Породы!$H$4),IF(Индексы!B32&gt;0,Породы!$B$4," ")," ")</f>
        <v xml:space="preserve"> </v>
      </c>
      <c r="C33" s="31" t="str">
        <f>IF(AND(Индексы!B32&gt;=Породы!$C$5,Индексы!B32&lt;=Породы!$D$5,Индексы!C32&gt;=Породы!$E$5,Индексы!C32&lt;=Породы!$F$5,Индексы!D32&gt;=Породы!$G$5,Индексы!D32&lt;=Породы!$H$5),IF(Индексы!B32&gt;0,Породы!$B$5," ")," ")</f>
        <v xml:space="preserve"> </v>
      </c>
      <c r="D33" s="31" t="str">
        <f>IF(AND(Индексы!B32&gt;=Породы!$C$6,Индексы!B32&lt;=Породы!$D$6,Индексы!C32&gt;=Породы!$E$6,Индексы!C32&lt;=Породы!$F$6,Индексы!D32&gt;=Породы!$G$6,Индексы!D32&lt;=Породы!$H$6),IF(Индексы!B32&gt;0,Породы!$B$6," ")," ")</f>
        <v xml:space="preserve"> </v>
      </c>
      <c r="E33" s="31" t="str">
        <f>IF(AND(Индексы!B32&gt;=Породы!$C$7,Индексы!B32&lt;=Породы!$D$7,Индексы!C32&gt;=Породы!$E$7,Индексы!C32&lt;=Породы!$F$7,Индексы!D32&gt;=Породы!$G$7,Индексы!D32&lt;=Породы!$H$7),IF(Индексы!B32&gt;0,Породы!$B$7," ")," ")</f>
        <v xml:space="preserve"> </v>
      </c>
      <c r="F33" s="78" t="str">
        <f>IF(A33&gt;0,Индексы!B32,"")</f>
        <v/>
      </c>
    </row>
    <row r="34" spans="1:6" x14ac:dyDescent="0.25">
      <c r="A34" s="33">
        <f>Индексы!A33</f>
        <v>0</v>
      </c>
      <c r="B34" s="31" t="str">
        <f>IF(AND(Индексы!B33&gt;=Породы!$C$4,Индексы!B33&lt;=Породы!$D$4,Индексы!C33&gt;=Породы!$E$4,Индексы!C33&lt;=Породы!$F$4,Индексы!D33&gt;=Породы!$G$4,Индексы!D33&lt;=Породы!$H$4),IF(Индексы!B33&gt;0,Породы!$B$4," ")," ")</f>
        <v xml:space="preserve"> </v>
      </c>
      <c r="C34" s="31" t="str">
        <f>IF(AND(Индексы!B33&gt;=Породы!$C$5,Индексы!B33&lt;=Породы!$D$5,Индексы!C33&gt;=Породы!$E$5,Индексы!C33&lt;=Породы!$F$5,Индексы!D33&gt;=Породы!$G$5,Индексы!D33&lt;=Породы!$H$5),IF(Индексы!B33&gt;0,Породы!$B$5," ")," ")</f>
        <v xml:space="preserve"> </v>
      </c>
      <c r="D34" s="31" t="str">
        <f>IF(AND(Индексы!B33&gt;=Породы!$C$6,Индексы!B33&lt;=Породы!$D$6,Индексы!C33&gt;=Породы!$E$6,Индексы!C33&lt;=Породы!$F$6,Индексы!D33&gt;=Породы!$G$6,Индексы!D33&lt;=Породы!$H$6),IF(Индексы!B33&gt;0,Породы!$B$6," ")," ")</f>
        <v xml:space="preserve"> </v>
      </c>
      <c r="E34" s="31" t="str">
        <f>IF(AND(Индексы!B33&gt;=Породы!$C$7,Индексы!B33&lt;=Породы!$D$7,Индексы!C33&gt;=Породы!$E$7,Индексы!C33&lt;=Породы!$F$7,Индексы!D33&gt;=Породы!$G$7,Индексы!D33&lt;=Породы!$H$7),IF(Индексы!B33&gt;0,Породы!$B$7," ")," ")</f>
        <v xml:space="preserve"> </v>
      </c>
      <c r="F34" s="78" t="str">
        <f>IF(A34&gt;0,Индексы!B33,"")</f>
        <v/>
      </c>
    </row>
    <row r="35" spans="1:6" x14ac:dyDescent="0.25">
      <c r="A35" s="33">
        <f>Индексы!A34</f>
        <v>0</v>
      </c>
      <c r="B35" s="31" t="str">
        <f>IF(AND(Индексы!B34&gt;=Породы!$C$4,Индексы!B34&lt;=Породы!$D$4,Индексы!C34&gt;=Породы!$E$4,Индексы!C34&lt;=Породы!$F$4,Индексы!D34&gt;=Породы!$G$4,Индексы!D34&lt;=Породы!$H$4),IF(Индексы!B34&gt;0,Породы!$B$4," ")," ")</f>
        <v xml:space="preserve"> </v>
      </c>
      <c r="C35" s="31" t="str">
        <f>IF(AND(Индексы!B34&gt;=Породы!$C$5,Индексы!B34&lt;=Породы!$D$5,Индексы!C34&gt;=Породы!$E$5,Индексы!C34&lt;=Породы!$F$5,Индексы!D34&gt;=Породы!$G$5,Индексы!D34&lt;=Породы!$H$5),IF(Индексы!B34&gt;0,Породы!$B$5," ")," ")</f>
        <v xml:space="preserve"> </v>
      </c>
      <c r="D35" s="31" t="str">
        <f>IF(AND(Индексы!B34&gt;=Породы!$C$6,Индексы!B34&lt;=Породы!$D$6,Индексы!C34&gt;=Породы!$E$6,Индексы!C34&lt;=Породы!$F$6,Индексы!D34&gt;=Породы!$G$6,Индексы!D34&lt;=Породы!$H$6),IF(Индексы!B34&gt;0,Породы!$B$6," ")," ")</f>
        <v xml:space="preserve"> </v>
      </c>
      <c r="E35" s="31" t="str">
        <f>IF(AND(Индексы!B34&gt;=Породы!$C$7,Индексы!B34&lt;=Породы!$D$7,Индексы!C34&gt;=Породы!$E$7,Индексы!C34&lt;=Породы!$F$7,Индексы!D34&gt;=Породы!$G$7,Индексы!D34&lt;=Породы!$H$7),IF(Индексы!B34&gt;0,Породы!$B$7," ")," ")</f>
        <v xml:space="preserve"> </v>
      </c>
      <c r="F35" s="78" t="str">
        <f>IF(A35&gt;0,Индексы!B34,"")</f>
        <v/>
      </c>
    </row>
    <row r="36" spans="1:6" x14ac:dyDescent="0.25">
      <c r="A36" s="33">
        <f>Индексы!A35</f>
        <v>0</v>
      </c>
      <c r="B36" s="31" t="str">
        <f>IF(AND(Индексы!B35&gt;=Породы!$C$4,Индексы!B35&lt;=Породы!$D$4,Индексы!C35&gt;=Породы!$E$4,Индексы!C35&lt;=Породы!$F$4,Индексы!D35&gt;=Породы!$G$4,Индексы!D35&lt;=Породы!$H$4),IF(Индексы!B35&gt;0,Породы!$B$4," ")," ")</f>
        <v xml:space="preserve"> </v>
      </c>
      <c r="C36" s="31" t="str">
        <f>IF(AND(Индексы!B35&gt;=Породы!$C$5,Индексы!B35&lt;=Породы!$D$5,Индексы!C35&gt;=Породы!$E$5,Индексы!C35&lt;=Породы!$F$5,Индексы!D35&gt;=Породы!$G$5,Индексы!D35&lt;=Породы!$H$5),IF(Индексы!B35&gt;0,Породы!$B$5," ")," ")</f>
        <v xml:space="preserve"> </v>
      </c>
      <c r="D36" s="31" t="str">
        <f>IF(AND(Индексы!B35&gt;=Породы!$C$6,Индексы!B35&lt;=Породы!$D$6,Индексы!C35&gt;=Породы!$E$6,Индексы!C35&lt;=Породы!$F$6,Индексы!D35&gt;=Породы!$G$6,Индексы!D35&lt;=Породы!$H$6),IF(Индексы!B35&gt;0,Породы!$B$6," ")," ")</f>
        <v xml:space="preserve"> </v>
      </c>
      <c r="E36" s="31" t="str">
        <f>IF(AND(Индексы!B35&gt;=Породы!$C$7,Индексы!B35&lt;=Породы!$D$7,Индексы!C35&gt;=Породы!$E$7,Индексы!C35&lt;=Породы!$F$7,Индексы!D35&gt;=Породы!$G$7,Индексы!D35&lt;=Породы!$H$7),IF(Индексы!B35&gt;0,Породы!$B$7," ")," ")</f>
        <v xml:space="preserve"> </v>
      </c>
      <c r="F36" s="78" t="str">
        <f>IF(A36&gt;0,Индексы!B35,"")</f>
        <v/>
      </c>
    </row>
    <row r="37" spans="1:6" x14ac:dyDescent="0.25">
      <c r="A37" s="33">
        <f>Индексы!A36</f>
        <v>0</v>
      </c>
      <c r="B37" s="31" t="str">
        <f>IF(AND(Индексы!B36&gt;=Породы!$C$4,Индексы!B36&lt;=Породы!$D$4,Индексы!C36&gt;=Породы!$E$4,Индексы!C36&lt;=Породы!$F$4,Индексы!D36&gt;=Породы!$G$4,Индексы!D36&lt;=Породы!$H$4),IF(Индексы!B36&gt;0,Породы!$B$4," ")," ")</f>
        <v xml:space="preserve"> </v>
      </c>
      <c r="C37" s="31" t="str">
        <f>IF(AND(Индексы!B36&gt;=Породы!$C$5,Индексы!B36&lt;=Породы!$D$5,Индексы!C36&gt;=Породы!$E$5,Индексы!C36&lt;=Породы!$F$5,Индексы!D36&gt;=Породы!$G$5,Индексы!D36&lt;=Породы!$H$5),IF(Индексы!B36&gt;0,Породы!$B$5," ")," ")</f>
        <v xml:space="preserve"> </v>
      </c>
      <c r="D37" s="31" t="str">
        <f>IF(AND(Индексы!B36&gt;=Породы!$C$6,Индексы!B36&lt;=Породы!$D$6,Индексы!C36&gt;=Породы!$E$6,Индексы!C36&lt;=Породы!$F$6,Индексы!D36&gt;=Породы!$G$6,Индексы!D36&lt;=Породы!$H$6),IF(Индексы!B36&gt;0,Породы!$B$6," ")," ")</f>
        <v xml:space="preserve"> </v>
      </c>
      <c r="E37" s="31" t="str">
        <f>IF(AND(Индексы!B36&gt;=Породы!$C$7,Индексы!B36&lt;=Породы!$D$7,Индексы!C36&gt;=Породы!$E$7,Индексы!C36&lt;=Породы!$F$7,Индексы!D36&gt;=Породы!$G$7,Индексы!D36&lt;=Породы!$H$7),IF(Индексы!B36&gt;0,Породы!$B$7," ")," ")</f>
        <v xml:space="preserve"> </v>
      </c>
      <c r="F37" s="78" t="str">
        <f>IF(A37&gt;0,Индексы!B36,"")</f>
        <v/>
      </c>
    </row>
    <row r="38" spans="1:6" x14ac:dyDescent="0.25">
      <c r="A38" s="33">
        <f>Индексы!A37</f>
        <v>0</v>
      </c>
      <c r="B38" s="31" t="str">
        <f>IF(AND(Индексы!B37&gt;=Породы!$C$4,Индексы!B37&lt;=Породы!$D$4,Индексы!C37&gt;=Породы!$E$4,Индексы!C37&lt;=Породы!$F$4,Индексы!D37&gt;=Породы!$G$4,Индексы!D37&lt;=Породы!$H$4),IF(Индексы!B37&gt;0,Породы!$B$4," ")," ")</f>
        <v xml:space="preserve"> </v>
      </c>
      <c r="C38" s="31" t="str">
        <f>IF(AND(Индексы!B37&gt;=Породы!$C$5,Индексы!B37&lt;=Породы!$D$5,Индексы!C37&gt;=Породы!$E$5,Индексы!C37&lt;=Породы!$F$5,Индексы!D37&gt;=Породы!$G$5,Индексы!D37&lt;=Породы!$H$5),IF(Индексы!B37&gt;0,Породы!$B$5," ")," ")</f>
        <v xml:space="preserve"> </v>
      </c>
      <c r="D38" s="31" t="str">
        <f>IF(AND(Индексы!B37&gt;=Породы!$C$6,Индексы!B37&lt;=Породы!$D$6,Индексы!C37&gt;=Породы!$E$6,Индексы!C37&lt;=Породы!$F$6,Индексы!D37&gt;=Породы!$G$6,Индексы!D37&lt;=Породы!$H$6),IF(Индексы!B37&gt;0,Породы!$B$6," ")," ")</f>
        <v xml:space="preserve"> </v>
      </c>
      <c r="E38" s="31" t="str">
        <f>IF(AND(Индексы!B37&gt;=Породы!$C$7,Индексы!B37&lt;=Породы!$D$7,Индексы!C37&gt;=Породы!$E$7,Индексы!C37&lt;=Породы!$F$7,Индексы!D37&gt;=Породы!$G$7,Индексы!D37&lt;=Породы!$H$7),IF(Индексы!B37&gt;0,Породы!$B$7," ")," ")</f>
        <v xml:space="preserve"> </v>
      </c>
      <c r="F38" s="78" t="str">
        <f>IF(A38&gt;0,Индексы!B37,"")</f>
        <v/>
      </c>
    </row>
    <row r="39" spans="1:6" x14ac:dyDescent="0.25">
      <c r="A39" s="33">
        <f>Индексы!A38</f>
        <v>0</v>
      </c>
      <c r="B39" s="31" t="str">
        <f>IF(AND(Индексы!B38&gt;=Породы!$C$4,Индексы!B38&lt;=Породы!$D$4,Индексы!C38&gt;=Породы!$E$4,Индексы!C38&lt;=Породы!$F$4,Индексы!D38&gt;=Породы!$G$4,Индексы!D38&lt;=Породы!$H$4),IF(Индексы!B38&gt;0,Породы!$B$4," ")," ")</f>
        <v xml:space="preserve"> </v>
      </c>
      <c r="C39" s="31" t="str">
        <f>IF(AND(Индексы!B38&gt;=Породы!$C$5,Индексы!B38&lt;=Породы!$D$5,Индексы!C38&gt;=Породы!$E$5,Индексы!C38&lt;=Породы!$F$5,Индексы!D38&gt;=Породы!$G$5,Индексы!D38&lt;=Породы!$H$5),IF(Индексы!B38&gt;0,Породы!$B$5," ")," ")</f>
        <v xml:space="preserve"> </v>
      </c>
      <c r="D39" s="31" t="str">
        <f>IF(AND(Индексы!B38&gt;=Породы!$C$6,Индексы!B38&lt;=Породы!$D$6,Индексы!C38&gt;=Породы!$E$6,Индексы!C38&lt;=Породы!$F$6,Индексы!D38&gt;=Породы!$G$6,Индексы!D38&lt;=Породы!$H$6),IF(Индексы!B38&gt;0,Породы!$B$6," ")," ")</f>
        <v xml:space="preserve"> </v>
      </c>
      <c r="E39" s="31" t="str">
        <f>IF(AND(Индексы!B38&gt;=Породы!$C$7,Индексы!B38&lt;=Породы!$D$7,Индексы!C38&gt;=Породы!$E$7,Индексы!C38&lt;=Породы!$F$7,Индексы!D38&gt;=Породы!$G$7,Индексы!D38&lt;=Породы!$H$7),IF(Индексы!B38&gt;0,Породы!$B$7," ")," ")</f>
        <v xml:space="preserve"> </v>
      </c>
      <c r="F39" s="78" t="str">
        <f>IF(A39&gt;0,Индексы!B38,"")</f>
        <v/>
      </c>
    </row>
    <row r="40" spans="1:6" x14ac:dyDescent="0.25">
      <c r="A40" s="33">
        <f>Индексы!A39</f>
        <v>0</v>
      </c>
      <c r="B40" s="31" t="str">
        <f>IF(AND(Индексы!B39&gt;=Породы!$C$4,Индексы!B39&lt;=Породы!$D$4,Индексы!C39&gt;=Породы!$E$4,Индексы!C39&lt;=Породы!$F$4,Индексы!D39&gt;=Породы!$G$4,Индексы!D39&lt;=Породы!$H$4),IF(Индексы!B39&gt;0,Породы!$B$4," ")," ")</f>
        <v xml:space="preserve"> </v>
      </c>
      <c r="C40" s="31" t="str">
        <f>IF(AND(Индексы!B39&gt;=Породы!$C$5,Индексы!B39&lt;=Породы!$D$5,Индексы!C39&gt;=Породы!$E$5,Индексы!C39&lt;=Породы!$F$5,Индексы!D39&gt;=Породы!$G$5,Индексы!D39&lt;=Породы!$H$5),IF(Индексы!B39&gt;0,Породы!$B$5," ")," ")</f>
        <v xml:space="preserve"> </v>
      </c>
      <c r="D40" s="31" t="str">
        <f>IF(AND(Индексы!B39&gt;=Породы!$C$6,Индексы!B39&lt;=Породы!$D$6,Индексы!C39&gt;=Породы!$E$6,Индексы!C39&lt;=Породы!$F$6,Индексы!D39&gt;=Породы!$G$6,Индексы!D39&lt;=Породы!$H$6),IF(Индексы!B39&gt;0,Породы!$B$6," ")," ")</f>
        <v xml:space="preserve"> </v>
      </c>
      <c r="E40" s="31" t="str">
        <f>IF(AND(Индексы!B39&gt;=Породы!$C$7,Индексы!B39&lt;=Породы!$D$7,Индексы!C39&gt;=Породы!$E$7,Индексы!C39&lt;=Породы!$F$7,Индексы!D39&gt;=Породы!$G$7,Индексы!D39&lt;=Породы!$H$7),IF(Индексы!B39&gt;0,Породы!$B$7," ")," ")</f>
        <v xml:space="preserve"> </v>
      </c>
      <c r="F40" s="78" t="str">
        <f>IF(A40&gt;0,Индексы!B39,"")</f>
        <v/>
      </c>
    </row>
    <row r="41" spans="1:6" x14ac:dyDescent="0.25">
      <c r="A41" s="33">
        <f>Индексы!A40</f>
        <v>0</v>
      </c>
      <c r="B41" s="31" t="str">
        <f>IF(AND(Индексы!B40&gt;=Породы!$C$4,Индексы!B40&lt;=Породы!$D$4,Индексы!C40&gt;=Породы!$E$4,Индексы!C40&lt;=Породы!$F$4,Индексы!D40&gt;=Породы!$G$4,Индексы!D40&lt;=Породы!$H$4),IF(Индексы!B40&gt;0,Породы!$B$4," ")," ")</f>
        <v xml:space="preserve"> </v>
      </c>
      <c r="C41" s="31" t="str">
        <f>IF(AND(Индексы!B40&gt;=Породы!$C$5,Индексы!B40&lt;=Породы!$D$5,Индексы!C40&gt;=Породы!$E$5,Индексы!C40&lt;=Породы!$F$5,Индексы!D40&gt;=Породы!$G$5,Индексы!D40&lt;=Породы!$H$5),IF(Индексы!B40&gt;0,Породы!$B$5," ")," ")</f>
        <v xml:space="preserve"> </v>
      </c>
      <c r="D41" s="31" t="str">
        <f>IF(AND(Индексы!B40&gt;=Породы!$C$6,Индексы!B40&lt;=Породы!$D$6,Индексы!C40&gt;=Породы!$E$6,Индексы!C40&lt;=Породы!$F$6,Индексы!D40&gt;=Породы!$G$6,Индексы!D40&lt;=Породы!$H$6),IF(Индексы!B40&gt;0,Породы!$B$6," ")," ")</f>
        <v xml:space="preserve"> </v>
      </c>
      <c r="E41" s="31" t="str">
        <f>IF(AND(Индексы!B40&gt;=Породы!$C$7,Индексы!B40&lt;=Породы!$D$7,Индексы!C40&gt;=Породы!$E$7,Индексы!C40&lt;=Породы!$F$7,Индексы!D40&gt;=Породы!$G$7,Индексы!D40&lt;=Породы!$H$7),IF(Индексы!B40&gt;0,Породы!$B$7," ")," ")</f>
        <v xml:space="preserve"> </v>
      </c>
      <c r="F41" s="78" t="str">
        <f>IF(A41&gt;0,Индексы!B40,"")</f>
        <v/>
      </c>
    </row>
    <row r="42" spans="1:6" x14ac:dyDescent="0.25">
      <c r="A42" s="33">
        <f>Индексы!A41</f>
        <v>0</v>
      </c>
      <c r="B42" s="31" t="str">
        <f>IF(AND(Индексы!B41&gt;=Породы!$C$4,Индексы!B41&lt;=Породы!$D$4,Индексы!C41&gt;=Породы!$E$4,Индексы!C41&lt;=Породы!$F$4,Индексы!D41&gt;=Породы!$G$4,Индексы!D41&lt;=Породы!$H$4),IF(Индексы!B41&gt;0,Породы!$B$4," ")," ")</f>
        <v xml:space="preserve"> </v>
      </c>
      <c r="C42" s="31" t="str">
        <f>IF(AND(Индексы!B41&gt;=Породы!$C$5,Индексы!B41&lt;=Породы!$D$5,Индексы!C41&gt;=Породы!$E$5,Индексы!C41&lt;=Породы!$F$5,Индексы!D41&gt;=Породы!$G$5,Индексы!D41&lt;=Породы!$H$5),IF(Индексы!B41&gt;0,Породы!$B$5," ")," ")</f>
        <v xml:space="preserve"> </v>
      </c>
      <c r="D42" s="31" t="str">
        <f>IF(AND(Индексы!B41&gt;=Породы!$C$6,Индексы!B41&lt;=Породы!$D$6,Индексы!C41&gt;=Породы!$E$6,Индексы!C41&lt;=Породы!$F$6,Индексы!D41&gt;=Породы!$G$6,Индексы!D41&lt;=Породы!$H$6),IF(Индексы!B41&gt;0,Породы!$B$6," ")," ")</f>
        <v xml:space="preserve"> </v>
      </c>
      <c r="E42" s="31" t="str">
        <f>IF(AND(Индексы!B41&gt;=Породы!$C$7,Индексы!B41&lt;=Породы!$D$7,Индексы!C41&gt;=Породы!$E$7,Индексы!C41&lt;=Породы!$F$7,Индексы!D41&gt;=Породы!$G$7,Индексы!D41&lt;=Породы!$H$7),IF(Индексы!B41&gt;0,Породы!$B$7," ")," ")</f>
        <v xml:space="preserve"> </v>
      </c>
      <c r="F42" s="78" t="str">
        <f>IF(A42&gt;0,Индексы!B41,"")</f>
        <v/>
      </c>
    </row>
    <row r="43" spans="1:6" x14ac:dyDescent="0.25">
      <c r="A43" s="33">
        <f>Индексы!A42</f>
        <v>0</v>
      </c>
      <c r="B43" s="31" t="str">
        <f>IF(AND(Индексы!B42&gt;=Породы!$C$4,Индексы!B42&lt;=Породы!$D$4,Индексы!C42&gt;=Породы!$E$4,Индексы!C42&lt;=Породы!$F$4,Индексы!D42&gt;=Породы!$G$4,Индексы!D42&lt;=Породы!$H$4),IF(Индексы!B42&gt;0,Породы!$B$4," ")," ")</f>
        <v xml:space="preserve"> </v>
      </c>
      <c r="C43" s="31" t="str">
        <f>IF(AND(Индексы!B42&gt;=Породы!$C$5,Индексы!B42&lt;=Породы!$D$5,Индексы!C42&gt;=Породы!$E$5,Индексы!C42&lt;=Породы!$F$5,Индексы!D42&gt;=Породы!$G$5,Индексы!D42&lt;=Породы!$H$5),IF(Индексы!B42&gt;0,Породы!$B$5," ")," ")</f>
        <v xml:space="preserve"> </v>
      </c>
      <c r="D43" s="31" t="str">
        <f>IF(AND(Индексы!B42&gt;=Породы!$C$6,Индексы!B42&lt;=Породы!$D$6,Индексы!C42&gt;=Породы!$E$6,Индексы!C42&lt;=Породы!$F$6,Индексы!D42&gt;=Породы!$G$6,Индексы!D42&lt;=Породы!$H$6),IF(Индексы!B42&gt;0,Породы!$B$6," ")," ")</f>
        <v xml:space="preserve"> </v>
      </c>
      <c r="E43" s="31" t="str">
        <f>IF(AND(Индексы!B42&gt;=Породы!$C$7,Индексы!B42&lt;=Породы!$D$7,Индексы!C42&gt;=Породы!$E$7,Индексы!C42&lt;=Породы!$F$7,Индексы!D42&gt;=Породы!$G$7,Индексы!D42&lt;=Породы!$H$7),IF(Индексы!B42&gt;0,Породы!$B$7," ")," ")</f>
        <v xml:space="preserve"> </v>
      </c>
      <c r="F43" s="78" t="str">
        <f>IF(A43&gt;0,Индексы!B42,"")</f>
        <v/>
      </c>
    </row>
    <row r="44" spans="1:6" x14ac:dyDescent="0.25">
      <c r="A44" s="33">
        <f>Индексы!A43</f>
        <v>0</v>
      </c>
      <c r="B44" s="31" t="str">
        <f>IF(AND(Индексы!B43&gt;=Породы!$C$4,Индексы!B43&lt;=Породы!$D$4,Индексы!C43&gt;=Породы!$E$4,Индексы!C43&lt;=Породы!$F$4,Индексы!D43&gt;=Породы!$G$4,Индексы!D43&lt;=Породы!$H$4),IF(Индексы!B43&gt;0,Породы!$B$4," ")," ")</f>
        <v xml:space="preserve"> </v>
      </c>
      <c r="C44" s="31" t="str">
        <f>IF(AND(Индексы!B43&gt;=Породы!$C$5,Индексы!B43&lt;=Породы!$D$5,Индексы!C43&gt;=Породы!$E$5,Индексы!C43&lt;=Породы!$F$5,Индексы!D43&gt;=Породы!$G$5,Индексы!D43&lt;=Породы!$H$5),IF(Индексы!B43&gt;0,Породы!$B$5," ")," ")</f>
        <v xml:space="preserve"> </v>
      </c>
      <c r="D44" s="31" t="str">
        <f>IF(AND(Индексы!B43&gt;=Породы!$C$6,Индексы!B43&lt;=Породы!$D$6,Индексы!C43&gt;=Породы!$E$6,Индексы!C43&lt;=Породы!$F$6,Индексы!D43&gt;=Породы!$G$6,Индексы!D43&lt;=Породы!$H$6),IF(Индексы!B43&gt;0,Породы!$B$6," ")," ")</f>
        <v xml:space="preserve"> </v>
      </c>
      <c r="E44" s="31" t="str">
        <f>IF(AND(Индексы!B43&gt;=Породы!$C$7,Индексы!B43&lt;=Породы!$D$7,Индексы!C43&gt;=Породы!$E$7,Индексы!C43&lt;=Породы!$F$7,Индексы!D43&gt;=Породы!$G$7,Индексы!D43&lt;=Породы!$H$7),IF(Индексы!B43&gt;0,Породы!$B$7," ")," ")</f>
        <v xml:space="preserve"> </v>
      </c>
      <c r="F44" s="78" t="str">
        <f>IF(A44&gt;0,Индексы!B43,"")</f>
        <v/>
      </c>
    </row>
    <row r="45" spans="1:6" x14ac:dyDescent="0.25">
      <c r="A45" s="33">
        <f>Индексы!A44</f>
        <v>0</v>
      </c>
      <c r="B45" s="31" t="str">
        <f>IF(AND(Индексы!B44&gt;=Породы!$C$4,Индексы!B44&lt;=Породы!$D$4,Индексы!C44&gt;=Породы!$E$4,Индексы!C44&lt;=Породы!$F$4,Индексы!D44&gt;=Породы!$G$4,Индексы!D44&lt;=Породы!$H$4),IF(Индексы!B44&gt;0,Породы!$B$4," ")," ")</f>
        <v xml:space="preserve"> </v>
      </c>
      <c r="C45" s="31" t="str">
        <f>IF(AND(Индексы!B44&gt;=Породы!$C$5,Индексы!B44&lt;=Породы!$D$5,Индексы!C44&gt;=Породы!$E$5,Индексы!C44&lt;=Породы!$F$5,Индексы!D44&gt;=Породы!$G$5,Индексы!D44&lt;=Породы!$H$5),IF(Индексы!B44&gt;0,Породы!$B$5," ")," ")</f>
        <v xml:space="preserve"> </v>
      </c>
      <c r="D45" s="31" t="str">
        <f>IF(AND(Индексы!B44&gt;=Породы!$C$6,Индексы!B44&lt;=Породы!$D$6,Индексы!C44&gt;=Породы!$E$6,Индексы!C44&lt;=Породы!$F$6,Индексы!D44&gt;=Породы!$G$6,Индексы!D44&lt;=Породы!$H$6),IF(Индексы!B44&gt;0,Породы!$B$6," ")," ")</f>
        <v xml:space="preserve"> </v>
      </c>
      <c r="E45" s="31" t="str">
        <f>IF(AND(Индексы!B44&gt;=Породы!$C$7,Индексы!B44&lt;=Породы!$D$7,Индексы!C44&gt;=Породы!$E$7,Индексы!C44&lt;=Породы!$F$7,Индексы!D44&gt;=Породы!$G$7,Индексы!D44&lt;=Породы!$H$7),IF(Индексы!B44&gt;0,Породы!$B$7," ")," ")</f>
        <v xml:space="preserve"> </v>
      </c>
      <c r="F45" s="78" t="str">
        <f>IF(A45&gt;0,Индексы!B44,"")</f>
        <v/>
      </c>
    </row>
    <row r="46" spans="1:6" x14ac:dyDescent="0.25">
      <c r="A46" s="33">
        <f>Индексы!A45</f>
        <v>0</v>
      </c>
      <c r="B46" s="31" t="str">
        <f>IF(AND(Индексы!B45&gt;=Породы!$C$4,Индексы!B45&lt;=Породы!$D$4,Индексы!C45&gt;=Породы!$E$4,Индексы!C45&lt;=Породы!$F$4,Индексы!D45&gt;=Породы!$G$4,Индексы!D45&lt;=Породы!$H$4),IF(Индексы!B45&gt;0,Породы!$B$4," ")," ")</f>
        <v xml:space="preserve"> </v>
      </c>
      <c r="C46" s="31" t="str">
        <f>IF(AND(Индексы!B45&gt;=Породы!$C$5,Индексы!B45&lt;=Породы!$D$5,Индексы!C45&gt;=Породы!$E$5,Индексы!C45&lt;=Породы!$F$5,Индексы!D45&gt;=Породы!$G$5,Индексы!D45&lt;=Породы!$H$5),IF(Индексы!B45&gt;0,Породы!$B$5," ")," ")</f>
        <v xml:space="preserve"> </v>
      </c>
      <c r="D46" s="31" t="str">
        <f>IF(AND(Индексы!B45&gt;=Породы!$C$6,Индексы!B45&lt;=Породы!$D$6,Индексы!C45&gt;=Породы!$E$6,Индексы!C45&lt;=Породы!$F$6,Индексы!D45&gt;=Породы!$G$6,Индексы!D45&lt;=Породы!$H$6),IF(Индексы!B45&gt;0,Породы!$B$6," ")," ")</f>
        <v xml:space="preserve"> </v>
      </c>
      <c r="E46" s="31" t="str">
        <f>IF(AND(Индексы!B45&gt;=Породы!$C$7,Индексы!B45&lt;=Породы!$D$7,Индексы!C45&gt;=Породы!$E$7,Индексы!C45&lt;=Породы!$F$7,Индексы!D45&gt;=Породы!$G$7,Индексы!D45&lt;=Породы!$H$7),IF(Индексы!B45&gt;0,Породы!$B$7," ")," ")</f>
        <v xml:space="preserve"> </v>
      </c>
      <c r="F46" s="78" t="str">
        <f>IF(A46&gt;0,Индексы!B45,"")</f>
        <v/>
      </c>
    </row>
    <row r="47" spans="1:6" x14ac:dyDescent="0.25">
      <c r="A47" s="33">
        <f>Индексы!A46</f>
        <v>0</v>
      </c>
      <c r="B47" s="31" t="str">
        <f>IF(AND(Индексы!B46&gt;=Породы!$C$4,Индексы!B46&lt;=Породы!$D$4,Индексы!C46&gt;=Породы!$E$4,Индексы!C46&lt;=Породы!$F$4,Индексы!D46&gt;=Породы!$G$4,Индексы!D46&lt;=Породы!$H$4),IF(Индексы!B46&gt;0,Породы!$B$4," ")," ")</f>
        <v xml:space="preserve"> </v>
      </c>
      <c r="C47" s="31" t="str">
        <f>IF(AND(Индексы!B46&gt;=Породы!$C$5,Индексы!B46&lt;=Породы!$D$5,Индексы!C46&gt;=Породы!$E$5,Индексы!C46&lt;=Породы!$F$5,Индексы!D46&gt;=Породы!$G$5,Индексы!D46&lt;=Породы!$H$5),IF(Индексы!B46&gt;0,Породы!$B$5," ")," ")</f>
        <v xml:space="preserve"> </v>
      </c>
      <c r="D47" s="31" t="str">
        <f>IF(AND(Индексы!B46&gt;=Породы!$C$6,Индексы!B46&lt;=Породы!$D$6,Индексы!C46&gt;=Породы!$E$6,Индексы!C46&lt;=Породы!$F$6,Индексы!D46&gt;=Породы!$G$6,Индексы!D46&lt;=Породы!$H$6),IF(Индексы!B46&gt;0,Породы!$B$6," ")," ")</f>
        <v xml:space="preserve"> </v>
      </c>
      <c r="E47" s="31" t="str">
        <f>IF(AND(Индексы!B46&gt;=Породы!$C$7,Индексы!B46&lt;=Породы!$D$7,Индексы!C46&gt;=Породы!$E$7,Индексы!C46&lt;=Породы!$F$7,Индексы!D46&gt;=Породы!$G$7,Индексы!D46&lt;=Породы!$H$7),IF(Индексы!B46&gt;0,Породы!$B$7," ")," ")</f>
        <v xml:space="preserve"> </v>
      </c>
      <c r="F47" s="78" t="str">
        <f>IF(A47&gt;0,Индексы!B46,"")</f>
        <v/>
      </c>
    </row>
    <row r="48" spans="1:6" x14ac:dyDescent="0.25">
      <c r="A48" s="33">
        <f>Индексы!A47</f>
        <v>0</v>
      </c>
      <c r="B48" s="31" t="str">
        <f>IF(AND(Индексы!B47&gt;=Породы!$C$4,Индексы!B47&lt;=Породы!$D$4,Индексы!C47&gt;=Породы!$E$4,Индексы!C47&lt;=Породы!$F$4,Индексы!D47&gt;=Породы!$G$4,Индексы!D47&lt;=Породы!$H$4),IF(Индексы!B47&gt;0,Породы!$B$4," ")," ")</f>
        <v xml:space="preserve"> </v>
      </c>
      <c r="C48" s="31" t="str">
        <f>IF(AND(Индексы!B47&gt;=Породы!$C$5,Индексы!B47&lt;=Породы!$D$5,Индексы!C47&gt;=Породы!$E$5,Индексы!C47&lt;=Породы!$F$5,Индексы!D47&gt;=Породы!$G$5,Индексы!D47&lt;=Породы!$H$5),IF(Индексы!B47&gt;0,Породы!$B$5," ")," ")</f>
        <v xml:space="preserve"> </v>
      </c>
      <c r="D48" s="31" t="str">
        <f>IF(AND(Индексы!B47&gt;=Породы!$C$6,Индексы!B47&lt;=Породы!$D$6,Индексы!C47&gt;=Породы!$E$6,Индексы!C47&lt;=Породы!$F$6,Индексы!D47&gt;=Породы!$G$6,Индексы!D47&lt;=Породы!$H$6),IF(Индексы!B47&gt;0,Породы!$B$6," ")," ")</f>
        <v xml:space="preserve"> </v>
      </c>
      <c r="E48" s="31" t="str">
        <f>IF(AND(Индексы!B47&gt;=Породы!$C$7,Индексы!B47&lt;=Породы!$D$7,Индексы!C47&gt;=Породы!$E$7,Индексы!C47&lt;=Породы!$F$7,Индексы!D47&gt;=Породы!$G$7,Индексы!D47&lt;=Породы!$H$7),IF(Индексы!B47&gt;0,Породы!$B$7," ")," ")</f>
        <v xml:space="preserve"> </v>
      </c>
      <c r="F48" s="78" t="str">
        <f>IF(A48&gt;0,Индексы!B47,"")</f>
        <v/>
      </c>
    </row>
    <row r="49" spans="1:6" x14ac:dyDescent="0.25">
      <c r="A49" s="33">
        <f>Индексы!A48</f>
        <v>0</v>
      </c>
      <c r="B49" s="31" t="str">
        <f>IF(AND(Индексы!B48&gt;=Породы!$C$4,Индексы!B48&lt;=Породы!$D$4,Индексы!C48&gt;=Породы!$E$4,Индексы!C48&lt;=Породы!$F$4,Индексы!D48&gt;=Породы!$G$4,Индексы!D48&lt;=Породы!$H$4),IF(Индексы!B48&gt;0,Породы!$B$4," ")," ")</f>
        <v xml:space="preserve"> </v>
      </c>
      <c r="C49" s="31" t="str">
        <f>IF(AND(Индексы!B48&gt;=Породы!$C$5,Индексы!B48&lt;=Породы!$D$5,Индексы!C48&gt;=Породы!$E$5,Индексы!C48&lt;=Породы!$F$5,Индексы!D48&gt;=Породы!$G$5,Индексы!D48&lt;=Породы!$H$5),IF(Индексы!B48&gt;0,Породы!$B$5," ")," ")</f>
        <v xml:space="preserve"> </v>
      </c>
      <c r="D49" s="31" t="str">
        <f>IF(AND(Индексы!B48&gt;=Породы!$C$6,Индексы!B48&lt;=Породы!$D$6,Индексы!C48&gt;=Породы!$E$6,Индексы!C48&lt;=Породы!$F$6,Индексы!D48&gt;=Породы!$G$6,Индексы!D48&lt;=Породы!$H$6),IF(Индексы!B48&gt;0,Породы!$B$6," ")," ")</f>
        <v xml:space="preserve"> </v>
      </c>
      <c r="E49" s="31" t="str">
        <f>IF(AND(Индексы!B48&gt;=Породы!$C$7,Индексы!B48&lt;=Породы!$D$7,Индексы!C48&gt;=Породы!$E$7,Индексы!C48&lt;=Породы!$F$7,Индексы!D48&gt;=Породы!$G$7,Индексы!D48&lt;=Породы!$H$7),IF(Индексы!B48&gt;0,Породы!$B$7," ")," ")</f>
        <v xml:space="preserve"> </v>
      </c>
      <c r="F49" s="78" t="str">
        <f>IF(A49&gt;0,Индексы!B48,"")</f>
        <v/>
      </c>
    </row>
    <row r="50" spans="1:6" x14ac:dyDescent="0.25">
      <c r="A50" s="33">
        <f>Индексы!A49</f>
        <v>0</v>
      </c>
      <c r="B50" s="31" t="str">
        <f>IF(AND(Индексы!B49&gt;=Породы!$C$4,Индексы!B49&lt;=Породы!$D$4,Индексы!C49&gt;=Породы!$E$4,Индексы!C49&lt;=Породы!$F$4,Индексы!D49&gt;=Породы!$G$4,Индексы!D49&lt;=Породы!$H$4),IF(Индексы!B49&gt;0,Породы!$B$4," ")," ")</f>
        <v xml:space="preserve"> </v>
      </c>
      <c r="C50" s="31" t="str">
        <f>IF(AND(Индексы!B49&gt;=Породы!$C$5,Индексы!B49&lt;=Породы!$D$5,Индексы!C49&gt;=Породы!$E$5,Индексы!C49&lt;=Породы!$F$5,Индексы!D49&gt;=Породы!$G$5,Индексы!D49&lt;=Породы!$H$5),IF(Индексы!B49&gt;0,Породы!$B$5," ")," ")</f>
        <v xml:space="preserve"> </v>
      </c>
      <c r="D50" s="31" t="str">
        <f>IF(AND(Индексы!B49&gt;=Породы!$C$6,Индексы!B49&lt;=Породы!$D$6,Индексы!C49&gt;=Породы!$E$6,Индексы!C49&lt;=Породы!$F$6,Индексы!D49&gt;=Породы!$G$6,Индексы!D49&lt;=Породы!$H$6),IF(Индексы!B49&gt;0,Породы!$B$6," ")," ")</f>
        <v xml:space="preserve"> </v>
      </c>
      <c r="E50" s="31" t="str">
        <f>IF(AND(Индексы!B49&gt;=Породы!$C$7,Индексы!B49&lt;=Породы!$D$7,Индексы!C49&gt;=Породы!$E$7,Индексы!C49&lt;=Породы!$F$7,Индексы!D49&gt;=Породы!$G$7,Индексы!D49&lt;=Породы!$H$7),IF(Индексы!B49&gt;0,Породы!$B$7," ")," ")</f>
        <v xml:space="preserve"> </v>
      </c>
      <c r="F50" s="78" t="str">
        <f>IF(A50&gt;0,Индексы!B49,"")</f>
        <v/>
      </c>
    </row>
    <row r="51" spans="1:6" x14ac:dyDescent="0.25">
      <c r="A51" s="33">
        <f>Индексы!A50</f>
        <v>0</v>
      </c>
      <c r="B51" s="31" t="str">
        <f>IF(AND(Индексы!B50&gt;=Породы!$C$4,Индексы!B50&lt;=Породы!$D$4,Индексы!C50&gt;=Породы!$E$4,Индексы!C50&lt;=Породы!$F$4,Индексы!D50&gt;=Породы!$G$4,Индексы!D50&lt;=Породы!$H$4),IF(Индексы!B50&gt;0,Породы!$B$4," ")," ")</f>
        <v xml:space="preserve"> </v>
      </c>
      <c r="C51" s="31" t="str">
        <f>IF(AND(Индексы!B50&gt;=Породы!$C$5,Индексы!B50&lt;=Породы!$D$5,Индексы!C50&gt;=Породы!$E$5,Индексы!C50&lt;=Породы!$F$5,Индексы!D50&gt;=Породы!$G$5,Индексы!D50&lt;=Породы!$H$5),IF(Индексы!B50&gt;0,Породы!$B$5," ")," ")</f>
        <v xml:space="preserve"> </v>
      </c>
      <c r="D51" s="31" t="str">
        <f>IF(AND(Индексы!B50&gt;=Породы!$C$6,Индексы!B50&lt;=Породы!$D$6,Индексы!C50&gt;=Породы!$E$6,Индексы!C50&lt;=Породы!$F$6,Индексы!D50&gt;=Породы!$G$6,Индексы!D50&lt;=Породы!$H$6),IF(Индексы!B50&gt;0,Породы!$B$6," ")," ")</f>
        <v xml:space="preserve"> </v>
      </c>
      <c r="E51" s="31" t="str">
        <f>IF(AND(Индексы!B50&gt;=Породы!$C$7,Индексы!B50&lt;=Породы!$D$7,Индексы!C50&gt;=Породы!$E$7,Индексы!C50&lt;=Породы!$F$7,Индексы!D50&gt;=Породы!$G$7,Индексы!D50&lt;=Породы!$H$7),IF(Индексы!B50&gt;0,Породы!$B$7," ")," ")</f>
        <v xml:space="preserve"> </v>
      </c>
      <c r="F51" s="78" t="str">
        <f>IF(A51&gt;0,Индексы!B50,"")</f>
        <v/>
      </c>
    </row>
    <row r="52" spans="1:6" x14ac:dyDescent="0.25">
      <c r="A52" s="33">
        <f>Индексы!A51</f>
        <v>0</v>
      </c>
      <c r="B52" s="31" t="str">
        <f>IF(AND(Индексы!B51&gt;=Породы!$C$4,Индексы!B51&lt;=Породы!$D$4,Индексы!C51&gt;=Породы!$E$4,Индексы!C51&lt;=Породы!$F$4,Индексы!D51&gt;=Породы!$G$4,Индексы!D51&lt;=Породы!$H$4),IF(Индексы!B51&gt;0,Породы!$B$4," ")," ")</f>
        <v xml:space="preserve"> </v>
      </c>
      <c r="C52" s="31" t="str">
        <f>IF(AND(Индексы!B51&gt;=Породы!$C$5,Индексы!B51&lt;=Породы!$D$5,Индексы!C51&gt;=Породы!$E$5,Индексы!C51&lt;=Породы!$F$5,Индексы!D51&gt;=Породы!$G$5,Индексы!D51&lt;=Породы!$H$5),IF(Индексы!B51&gt;0,Породы!$B$5," ")," ")</f>
        <v xml:space="preserve"> </v>
      </c>
      <c r="D52" s="31" t="str">
        <f>IF(AND(Индексы!B51&gt;=Породы!$C$6,Индексы!B51&lt;=Породы!$D$6,Индексы!C51&gt;=Породы!$E$6,Индексы!C51&lt;=Породы!$F$6,Индексы!D51&gt;=Породы!$G$6,Индексы!D51&lt;=Породы!$H$6),IF(Индексы!B51&gt;0,Породы!$B$6," ")," ")</f>
        <v xml:space="preserve"> </v>
      </c>
      <c r="E52" s="31" t="str">
        <f>IF(AND(Индексы!B51&gt;=Породы!$C$7,Индексы!B51&lt;=Породы!$D$7,Индексы!C51&gt;=Породы!$E$7,Индексы!C51&lt;=Породы!$F$7,Индексы!D51&gt;=Породы!$G$7,Индексы!D51&lt;=Породы!$H$7),IF(Индексы!B51&gt;0,Породы!$B$7," ")," ")</f>
        <v xml:space="preserve"> </v>
      </c>
      <c r="F52" s="78" t="str">
        <f>IF(A52&gt;0,Индексы!B51,"")</f>
        <v/>
      </c>
    </row>
    <row r="53" spans="1:6" x14ac:dyDescent="0.25">
      <c r="A53" s="33">
        <f>Индексы!A52</f>
        <v>0</v>
      </c>
      <c r="B53" s="31" t="str">
        <f>IF(AND(Индексы!B52&gt;=Породы!$C$4,Индексы!B52&lt;=Породы!$D$4,Индексы!C52&gt;=Породы!$E$4,Индексы!C52&lt;=Породы!$F$4,Индексы!D52&gt;=Породы!$G$4,Индексы!D52&lt;=Породы!$H$4),IF(Индексы!B52&gt;0,Породы!$B$4," ")," ")</f>
        <v xml:space="preserve"> </v>
      </c>
      <c r="C53" s="31" t="str">
        <f>IF(AND(Индексы!B52&gt;=Породы!$C$5,Индексы!B52&lt;=Породы!$D$5,Индексы!C52&gt;=Породы!$E$5,Индексы!C52&lt;=Породы!$F$5,Индексы!D52&gt;=Породы!$G$5,Индексы!D52&lt;=Породы!$H$5),IF(Индексы!B52&gt;0,Породы!$B$5," ")," ")</f>
        <v xml:space="preserve"> </v>
      </c>
      <c r="D53" s="31" t="str">
        <f>IF(AND(Индексы!B52&gt;=Породы!$C$6,Индексы!B52&lt;=Породы!$D$6,Индексы!C52&gt;=Породы!$E$6,Индексы!C52&lt;=Породы!$F$6,Индексы!D52&gt;=Породы!$G$6,Индексы!D52&lt;=Породы!$H$6),IF(Индексы!B52&gt;0,Породы!$B$6," ")," ")</f>
        <v xml:space="preserve"> </v>
      </c>
      <c r="E53" s="31" t="str">
        <f>IF(AND(Индексы!B52&gt;=Породы!$C$7,Индексы!B52&lt;=Породы!$D$7,Индексы!C52&gt;=Породы!$E$7,Индексы!C52&lt;=Породы!$F$7,Индексы!D52&gt;=Породы!$G$7,Индексы!D52&lt;=Породы!$H$7),IF(Индексы!B52&gt;0,Породы!$B$7," ")," ")</f>
        <v xml:space="preserve"> </v>
      </c>
      <c r="F53" s="78" t="str">
        <f>IF(A53&gt;0,Индексы!B52,"")</f>
        <v/>
      </c>
    </row>
    <row r="54" spans="1:6" x14ac:dyDescent="0.25">
      <c r="A54" s="33">
        <f>Индексы!A53</f>
        <v>0</v>
      </c>
      <c r="B54" s="31" t="str">
        <f>IF(AND(Индексы!B53&gt;=Породы!$C$4,Индексы!B53&lt;=Породы!$D$4,Индексы!C53&gt;=Породы!$E$4,Индексы!C53&lt;=Породы!$F$4,Индексы!D53&gt;=Породы!$G$4,Индексы!D53&lt;=Породы!$H$4),IF(Индексы!B53&gt;0,Породы!$B$4," ")," ")</f>
        <v xml:space="preserve"> </v>
      </c>
      <c r="C54" s="31" t="str">
        <f>IF(AND(Индексы!B53&gt;=Породы!$C$5,Индексы!B53&lt;=Породы!$D$5,Индексы!C53&gt;=Породы!$E$5,Индексы!C53&lt;=Породы!$F$5,Индексы!D53&gt;=Породы!$G$5,Индексы!D53&lt;=Породы!$H$5),IF(Индексы!B53&gt;0,Породы!$B$5," ")," ")</f>
        <v xml:space="preserve"> </v>
      </c>
      <c r="D54" s="31" t="str">
        <f>IF(AND(Индексы!B53&gt;=Породы!$C$6,Индексы!B53&lt;=Породы!$D$6,Индексы!C53&gt;=Породы!$E$6,Индексы!C53&lt;=Породы!$F$6,Индексы!D53&gt;=Породы!$G$6,Индексы!D53&lt;=Породы!$H$6),IF(Индексы!B53&gt;0,Породы!$B$6," ")," ")</f>
        <v xml:space="preserve"> </v>
      </c>
      <c r="E54" s="31" t="str">
        <f>IF(AND(Индексы!B53&gt;=Породы!$C$7,Индексы!B53&lt;=Породы!$D$7,Индексы!C53&gt;=Породы!$E$7,Индексы!C53&lt;=Породы!$F$7,Индексы!D53&gt;=Породы!$G$7,Индексы!D53&lt;=Породы!$H$7),IF(Индексы!B53&gt;0,Породы!$B$7," ")," ")</f>
        <v xml:space="preserve"> </v>
      </c>
      <c r="F54" s="78" t="str">
        <f>IF(A54&gt;0,Индексы!B53,"")</f>
        <v/>
      </c>
    </row>
    <row r="55" spans="1:6" x14ac:dyDescent="0.25">
      <c r="A55" s="33">
        <f>Индексы!A54</f>
        <v>0</v>
      </c>
      <c r="B55" s="31" t="str">
        <f>IF(AND(Индексы!B54&gt;=Породы!$C$4,Индексы!B54&lt;=Породы!$D$4,Индексы!C54&gt;=Породы!$E$4,Индексы!C54&lt;=Породы!$F$4,Индексы!D54&gt;=Породы!$G$4,Индексы!D54&lt;=Породы!$H$4),IF(Индексы!B54&gt;0,Породы!$B$4," ")," ")</f>
        <v xml:space="preserve"> </v>
      </c>
      <c r="C55" s="31" t="str">
        <f>IF(AND(Индексы!B54&gt;=Породы!$C$5,Индексы!B54&lt;=Породы!$D$5,Индексы!C54&gt;=Породы!$E$5,Индексы!C54&lt;=Породы!$F$5,Индексы!D54&gt;=Породы!$G$5,Индексы!D54&lt;=Породы!$H$5),IF(Индексы!B54&gt;0,Породы!$B$5," ")," ")</f>
        <v xml:space="preserve"> </v>
      </c>
      <c r="D55" s="31" t="str">
        <f>IF(AND(Индексы!B54&gt;=Породы!$C$6,Индексы!B54&lt;=Породы!$D$6,Индексы!C54&gt;=Породы!$E$6,Индексы!C54&lt;=Породы!$F$6,Индексы!D54&gt;=Породы!$G$6,Индексы!D54&lt;=Породы!$H$6),IF(Индексы!B54&gt;0,Породы!$B$6," ")," ")</f>
        <v xml:space="preserve"> </v>
      </c>
      <c r="E55" s="31" t="str">
        <f>IF(AND(Индексы!B54&gt;=Породы!$C$7,Индексы!B54&lt;=Породы!$D$7,Индексы!C54&gt;=Породы!$E$7,Индексы!C54&lt;=Породы!$F$7,Индексы!D54&gt;=Породы!$G$7,Индексы!D54&lt;=Породы!$H$7),IF(Индексы!B54&gt;0,Породы!$B$7," ")," ")</f>
        <v xml:space="preserve"> </v>
      </c>
      <c r="F55" s="78" t="str">
        <f>IF(A55&gt;0,Индексы!B54,"")</f>
        <v/>
      </c>
    </row>
    <row r="56" spans="1:6" x14ac:dyDescent="0.25">
      <c r="A56" s="33">
        <f>Индексы!A55</f>
        <v>0</v>
      </c>
      <c r="B56" s="31" t="str">
        <f>IF(AND(Индексы!B55&gt;=Породы!$C$4,Индексы!B55&lt;=Породы!$D$4,Индексы!C55&gt;=Породы!$E$4,Индексы!C55&lt;=Породы!$F$4,Индексы!D55&gt;=Породы!$G$4,Индексы!D55&lt;=Породы!$H$4),IF(Индексы!B55&gt;0,Породы!$B$4," ")," ")</f>
        <v xml:space="preserve"> </v>
      </c>
      <c r="C56" s="31" t="str">
        <f>IF(AND(Индексы!B55&gt;=Породы!$C$5,Индексы!B55&lt;=Породы!$D$5,Индексы!C55&gt;=Породы!$E$5,Индексы!C55&lt;=Породы!$F$5,Индексы!D55&gt;=Породы!$G$5,Индексы!D55&lt;=Породы!$H$5),IF(Индексы!B55&gt;0,Породы!$B$5," ")," ")</f>
        <v xml:space="preserve"> </v>
      </c>
      <c r="D56" s="31" t="str">
        <f>IF(AND(Индексы!B55&gt;=Породы!$C$6,Индексы!B55&lt;=Породы!$D$6,Индексы!C55&gt;=Породы!$E$6,Индексы!C55&lt;=Породы!$F$6,Индексы!D55&gt;=Породы!$G$6,Индексы!D55&lt;=Породы!$H$6),IF(Индексы!B55&gt;0,Породы!$B$6," ")," ")</f>
        <v xml:space="preserve"> </v>
      </c>
      <c r="E56" s="31" t="str">
        <f>IF(AND(Индексы!B55&gt;=Породы!$C$7,Индексы!B55&lt;=Породы!$D$7,Индексы!C55&gt;=Породы!$E$7,Индексы!C55&lt;=Породы!$F$7,Индексы!D55&gt;=Породы!$G$7,Индексы!D55&lt;=Породы!$H$7),IF(Индексы!B55&gt;0,Породы!$B$7," ")," ")</f>
        <v xml:space="preserve"> </v>
      </c>
      <c r="F56" s="78" t="str">
        <f>IF(A56&gt;0,Индексы!B55,"")</f>
        <v/>
      </c>
    </row>
    <row r="57" spans="1:6" x14ac:dyDescent="0.25">
      <c r="A57" s="33">
        <f>Индексы!A56</f>
        <v>0</v>
      </c>
      <c r="B57" s="31" t="str">
        <f>IF(AND(Индексы!B56&gt;=Породы!$C$4,Индексы!B56&lt;=Породы!$D$4,Индексы!C56&gt;=Породы!$E$4,Индексы!C56&lt;=Породы!$F$4,Индексы!D56&gt;=Породы!$G$4,Индексы!D56&lt;=Породы!$H$4),IF(Индексы!B56&gt;0,Породы!$B$4," ")," ")</f>
        <v xml:space="preserve"> </v>
      </c>
      <c r="C57" s="31" t="str">
        <f>IF(AND(Индексы!B56&gt;=Породы!$C$5,Индексы!B56&lt;=Породы!$D$5,Индексы!C56&gt;=Породы!$E$5,Индексы!C56&lt;=Породы!$F$5,Индексы!D56&gt;=Породы!$G$5,Индексы!D56&lt;=Породы!$H$5),IF(Индексы!B56&gt;0,Породы!$B$5," ")," ")</f>
        <v xml:space="preserve"> </v>
      </c>
      <c r="D57" s="31" t="str">
        <f>IF(AND(Индексы!B56&gt;=Породы!$C$6,Индексы!B56&lt;=Породы!$D$6,Индексы!C56&gt;=Породы!$E$6,Индексы!C56&lt;=Породы!$F$6,Индексы!D56&gt;=Породы!$G$6,Индексы!D56&lt;=Породы!$H$6),IF(Индексы!B56&gt;0,Породы!$B$6," ")," ")</f>
        <v xml:space="preserve"> </v>
      </c>
      <c r="E57" s="31" t="str">
        <f>IF(AND(Индексы!B56&gt;=Породы!$C$7,Индексы!B56&lt;=Породы!$D$7,Индексы!C56&gt;=Породы!$E$7,Индексы!C56&lt;=Породы!$F$7,Индексы!D56&gt;=Породы!$G$7,Индексы!D56&lt;=Породы!$H$7),IF(Индексы!B56&gt;0,Породы!$B$7," ")," ")</f>
        <v xml:space="preserve"> </v>
      </c>
      <c r="F57" s="78" t="str">
        <f>IF(A57&gt;0,Индексы!B56,"")</f>
        <v/>
      </c>
    </row>
    <row r="58" spans="1:6" x14ac:dyDescent="0.25">
      <c r="A58" s="33">
        <f>Индексы!A57</f>
        <v>0</v>
      </c>
      <c r="B58" s="31" t="str">
        <f>IF(AND(Индексы!B57&gt;=Породы!$C$4,Индексы!B57&lt;=Породы!$D$4,Индексы!C57&gt;=Породы!$E$4,Индексы!C57&lt;=Породы!$F$4,Индексы!D57&gt;=Породы!$G$4,Индексы!D57&lt;=Породы!$H$4),IF(Индексы!B57&gt;0,Породы!$B$4," ")," ")</f>
        <v xml:space="preserve"> </v>
      </c>
      <c r="C58" s="31" t="str">
        <f>IF(AND(Индексы!B57&gt;=Породы!$C$5,Индексы!B57&lt;=Породы!$D$5,Индексы!C57&gt;=Породы!$E$5,Индексы!C57&lt;=Породы!$F$5,Индексы!D57&gt;=Породы!$G$5,Индексы!D57&lt;=Породы!$H$5),IF(Индексы!B57&gt;0,Породы!$B$5," ")," ")</f>
        <v xml:space="preserve"> </v>
      </c>
      <c r="D58" s="31" t="str">
        <f>IF(AND(Индексы!B57&gt;=Породы!$C$6,Индексы!B57&lt;=Породы!$D$6,Индексы!C57&gt;=Породы!$E$6,Индексы!C57&lt;=Породы!$F$6,Индексы!D57&gt;=Породы!$G$6,Индексы!D57&lt;=Породы!$H$6),IF(Индексы!B57&gt;0,Породы!$B$6," ")," ")</f>
        <v xml:space="preserve"> </v>
      </c>
      <c r="E58" s="31" t="str">
        <f>IF(AND(Индексы!B57&gt;=Породы!$C$7,Индексы!B57&lt;=Породы!$D$7,Индексы!C57&gt;=Породы!$E$7,Индексы!C57&lt;=Породы!$F$7,Индексы!D57&gt;=Породы!$G$7,Индексы!D57&lt;=Породы!$H$7),IF(Индексы!B57&gt;0,Породы!$B$7," ")," ")</f>
        <v xml:space="preserve"> </v>
      </c>
      <c r="F58" s="78" t="str">
        <f>IF(A58&gt;0,Индексы!B57,"")</f>
        <v/>
      </c>
    </row>
    <row r="59" spans="1:6" x14ac:dyDescent="0.25">
      <c r="A59" s="33">
        <f>Индексы!A58</f>
        <v>0</v>
      </c>
      <c r="B59" s="31" t="str">
        <f>IF(AND(Индексы!B58&gt;=Породы!$C$4,Индексы!B58&lt;=Породы!$D$4,Индексы!C58&gt;=Породы!$E$4,Индексы!C58&lt;=Породы!$F$4,Индексы!D58&gt;=Породы!$G$4,Индексы!D58&lt;=Породы!$H$4),IF(Индексы!B58&gt;0,Породы!$B$4," ")," ")</f>
        <v xml:space="preserve"> </v>
      </c>
      <c r="C59" s="31" t="str">
        <f>IF(AND(Индексы!B58&gt;=Породы!$C$5,Индексы!B58&lt;=Породы!$D$5,Индексы!C58&gt;=Породы!$E$5,Индексы!C58&lt;=Породы!$F$5,Индексы!D58&gt;=Породы!$G$5,Индексы!D58&lt;=Породы!$H$5),IF(Индексы!B58&gt;0,Породы!$B$5," ")," ")</f>
        <v xml:space="preserve"> </v>
      </c>
      <c r="D59" s="31" t="str">
        <f>IF(AND(Индексы!B58&gt;=Породы!$C$6,Индексы!B58&lt;=Породы!$D$6,Индексы!C58&gt;=Породы!$E$6,Индексы!C58&lt;=Породы!$F$6,Индексы!D58&gt;=Породы!$G$6,Индексы!D58&lt;=Породы!$H$6),IF(Индексы!B58&gt;0,Породы!$B$6," ")," ")</f>
        <v xml:space="preserve"> </v>
      </c>
      <c r="E59" s="31" t="str">
        <f>IF(AND(Индексы!B58&gt;=Породы!$C$7,Индексы!B58&lt;=Породы!$D$7,Индексы!C58&gt;=Породы!$E$7,Индексы!C58&lt;=Породы!$F$7,Индексы!D58&gt;=Породы!$G$7,Индексы!D58&lt;=Породы!$H$7),IF(Индексы!B58&gt;0,Породы!$B$7," ")," ")</f>
        <v xml:space="preserve"> </v>
      </c>
      <c r="F59" s="78" t="str">
        <f>IF(A59&gt;0,Индексы!B58,"")</f>
        <v/>
      </c>
    </row>
    <row r="60" spans="1:6" x14ac:dyDescent="0.25">
      <c r="A60" s="33">
        <f>Индексы!A59</f>
        <v>0</v>
      </c>
      <c r="B60" s="31" t="str">
        <f>IF(AND(Индексы!B59&gt;=Породы!$C$4,Индексы!B59&lt;=Породы!$D$4,Индексы!C59&gt;=Породы!$E$4,Индексы!C59&lt;=Породы!$F$4,Индексы!D59&gt;=Породы!$G$4,Индексы!D59&lt;=Породы!$H$4),IF(Индексы!B59&gt;0,Породы!$B$4," ")," ")</f>
        <v xml:space="preserve"> </v>
      </c>
      <c r="C60" s="31" t="str">
        <f>IF(AND(Индексы!B59&gt;=Породы!$C$5,Индексы!B59&lt;=Породы!$D$5,Индексы!C59&gt;=Породы!$E$5,Индексы!C59&lt;=Породы!$F$5,Индексы!D59&gt;=Породы!$G$5,Индексы!D59&lt;=Породы!$H$5),IF(Индексы!B59&gt;0,Породы!$B$5," ")," ")</f>
        <v xml:space="preserve"> </v>
      </c>
      <c r="D60" s="31" t="str">
        <f>IF(AND(Индексы!B59&gt;=Породы!$C$6,Индексы!B59&lt;=Породы!$D$6,Индексы!C59&gt;=Породы!$E$6,Индексы!C59&lt;=Породы!$F$6,Индексы!D59&gt;=Породы!$G$6,Индексы!D59&lt;=Породы!$H$6),IF(Индексы!B59&gt;0,Породы!$B$6," ")," ")</f>
        <v xml:space="preserve"> </v>
      </c>
      <c r="E60" s="31" t="str">
        <f>IF(AND(Индексы!B59&gt;=Породы!$C$7,Индексы!B59&lt;=Породы!$D$7,Индексы!C59&gt;=Породы!$E$7,Индексы!C59&lt;=Породы!$F$7,Индексы!D59&gt;=Породы!$G$7,Индексы!D59&lt;=Породы!$H$7),IF(Индексы!B59&gt;0,Породы!$B$7," ")," ")</f>
        <v xml:space="preserve"> </v>
      </c>
      <c r="F60" s="78" t="str">
        <f>IF(A60&gt;0,Индексы!B59,"")</f>
        <v/>
      </c>
    </row>
    <row r="61" spans="1:6" x14ac:dyDescent="0.25">
      <c r="A61" s="33">
        <f>Индексы!A60</f>
        <v>0</v>
      </c>
      <c r="B61" s="31" t="str">
        <f>IF(AND(Индексы!B60&gt;=Породы!$C$4,Индексы!B60&lt;=Породы!$D$4,Индексы!C60&gt;=Породы!$E$4,Индексы!C60&lt;=Породы!$F$4,Индексы!D60&gt;=Породы!$G$4,Индексы!D60&lt;=Породы!$H$4),IF(Индексы!B60&gt;0,Породы!$B$4," ")," ")</f>
        <v xml:space="preserve"> </v>
      </c>
      <c r="C61" s="31" t="str">
        <f>IF(AND(Индексы!B60&gt;=Породы!$C$5,Индексы!B60&lt;=Породы!$D$5,Индексы!C60&gt;=Породы!$E$5,Индексы!C60&lt;=Породы!$F$5,Индексы!D60&gt;=Породы!$G$5,Индексы!D60&lt;=Породы!$H$5),IF(Индексы!B60&gt;0,Породы!$B$5," ")," ")</f>
        <v xml:space="preserve"> </v>
      </c>
      <c r="D61" s="31" t="str">
        <f>IF(AND(Индексы!B60&gt;=Породы!$C$6,Индексы!B60&lt;=Породы!$D$6,Индексы!C60&gt;=Породы!$E$6,Индексы!C60&lt;=Породы!$F$6,Индексы!D60&gt;=Породы!$G$6,Индексы!D60&lt;=Породы!$H$6),IF(Индексы!B60&gt;0,Породы!$B$6," ")," ")</f>
        <v xml:space="preserve"> </v>
      </c>
      <c r="E61" s="31" t="str">
        <f>IF(AND(Индексы!B60&gt;=Породы!$C$7,Индексы!B60&lt;=Породы!$D$7,Индексы!C60&gt;=Породы!$E$7,Индексы!C60&lt;=Породы!$F$7,Индексы!D60&gt;=Породы!$G$7,Индексы!D60&lt;=Породы!$H$7),IF(Индексы!B60&gt;0,Породы!$B$7," ")," ")</f>
        <v xml:space="preserve"> </v>
      </c>
      <c r="F61" s="78" t="str">
        <f>IF(A61&gt;0,Индексы!B60,"")</f>
        <v/>
      </c>
    </row>
    <row r="62" spans="1:6" x14ac:dyDescent="0.25">
      <c r="A62" s="33">
        <f>Индексы!A61</f>
        <v>0</v>
      </c>
      <c r="B62" s="31" t="str">
        <f>IF(AND(Индексы!B61&gt;=Породы!$C$4,Индексы!B61&lt;=Породы!$D$4,Индексы!C61&gt;=Породы!$E$4,Индексы!C61&lt;=Породы!$F$4,Индексы!D61&gt;=Породы!$G$4,Индексы!D61&lt;=Породы!$H$4),IF(Индексы!B61&gt;0,Породы!$B$4," ")," ")</f>
        <v xml:space="preserve"> </v>
      </c>
      <c r="C62" s="31" t="str">
        <f>IF(AND(Индексы!B61&gt;=Породы!$C$5,Индексы!B61&lt;=Породы!$D$5,Индексы!C61&gt;=Породы!$E$5,Индексы!C61&lt;=Породы!$F$5,Индексы!D61&gt;=Породы!$G$5,Индексы!D61&lt;=Породы!$H$5),IF(Индексы!B61&gt;0,Породы!$B$5," ")," ")</f>
        <v xml:space="preserve"> </v>
      </c>
      <c r="D62" s="31" t="str">
        <f>IF(AND(Индексы!B61&gt;=Породы!$C$6,Индексы!B61&lt;=Породы!$D$6,Индексы!C61&gt;=Породы!$E$6,Индексы!C61&lt;=Породы!$F$6,Индексы!D61&gt;=Породы!$G$6,Индексы!D61&lt;=Породы!$H$6),IF(Индексы!B61&gt;0,Породы!$B$6," ")," ")</f>
        <v xml:space="preserve"> </v>
      </c>
      <c r="E62" s="31" t="str">
        <f>IF(AND(Индексы!B61&gt;=Породы!$C$7,Индексы!B61&lt;=Породы!$D$7,Индексы!C61&gt;=Породы!$E$7,Индексы!C61&lt;=Породы!$F$7,Индексы!D61&gt;=Породы!$G$7,Индексы!D61&lt;=Породы!$H$7),IF(Индексы!B61&gt;0,Породы!$B$7," ")," ")</f>
        <v xml:space="preserve"> </v>
      </c>
      <c r="F62" s="78" t="str">
        <f>IF(A62&gt;0,Индексы!B61,"")</f>
        <v/>
      </c>
    </row>
    <row r="63" spans="1:6" x14ac:dyDescent="0.25">
      <c r="A63" s="33">
        <f>Индексы!A62</f>
        <v>0</v>
      </c>
      <c r="B63" s="31" t="str">
        <f>IF(AND(Индексы!B62&gt;=Породы!$C$4,Индексы!B62&lt;=Породы!$D$4,Индексы!C62&gt;=Породы!$E$4,Индексы!C62&lt;=Породы!$F$4,Индексы!D62&gt;=Породы!$G$4,Индексы!D62&lt;=Породы!$H$4),IF(Индексы!B62&gt;0,Породы!$B$4," ")," ")</f>
        <v xml:space="preserve"> </v>
      </c>
      <c r="C63" s="31" t="str">
        <f>IF(AND(Индексы!B62&gt;=Породы!$C$5,Индексы!B62&lt;=Породы!$D$5,Индексы!C62&gt;=Породы!$E$5,Индексы!C62&lt;=Породы!$F$5,Индексы!D62&gt;=Породы!$G$5,Индексы!D62&lt;=Породы!$H$5),IF(Индексы!B62&gt;0,Породы!$B$5," ")," ")</f>
        <v xml:space="preserve"> </v>
      </c>
      <c r="D63" s="31" t="str">
        <f>IF(AND(Индексы!B62&gt;=Породы!$C$6,Индексы!B62&lt;=Породы!$D$6,Индексы!C62&gt;=Породы!$E$6,Индексы!C62&lt;=Породы!$F$6,Индексы!D62&gt;=Породы!$G$6,Индексы!D62&lt;=Породы!$H$6),IF(Индексы!B62&gt;0,Породы!$B$6," ")," ")</f>
        <v xml:space="preserve"> </v>
      </c>
      <c r="E63" s="31" t="str">
        <f>IF(AND(Индексы!B62&gt;=Породы!$C$7,Индексы!B62&lt;=Породы!$D$7,Индексы!C62&gt;=Породы!$E$7,Индексы!C62&lt;=Породы!$F$7,Индексы!D62&gt;=Породы!$G$7,Индексы!D62&lt;=Породы!$H$7),IF(Индексы!B62&gt;0,Породы!$B$7," ")," ")</f>
        <v xml:space="preserve"> </v>
      </c>
      <c r="F63" s="78" t="str">
        <f>IF(A63&gt;0,Индексы!B62,"")</f>
        <v/>
      </c>
    </row>
    <row r="64" spans="1:6" x14ac:dyDescent="0.25">
      <c r="A64" s="33">
        <f>Индексы!A63</f>
        <v>0</v>
      </c>
      <c r="B64" s="31" t="str">
        <f>IF(AND(Индексы!B63&gt;=Породы!$C$4,Индексы!B63&lt;=Породы!$D$4,Индексы!C63&gt;=Породы!$E$4,Индексы!C63&lt;=Породы!$F$4,Индексы!D63&gt;=Породы!$G$4,Индексы!D63&lt;=Породы!$H$4),IF(Индексы!B63&gt;0,Породы!$B$4," ")," ")</f>
        <v xml:space="preserve"> </v>
      </c>
      <c r="C64" s="31" t="str">
        <f>IF(AND(Индексы!B63&gt;=Породы!$C$5,Индексы!B63&lt;=Породы!$D$5,Индексы!C63&gt;=Породы!$E$5,Индексы!C63&lt;=Породы!$F$5,Индексы!D63&gt;=Породы!$G$5,Индексы!D63&lt;=Породы!$H$5),IF(Индексы!B63&gt;0,Породы!$B$5," ")," ")</f>
        <v xml:space="preserve"> </v>
      </c>
      <c r="D64" s="31" t="str">
        <f>IF(AND(Индексы!B63&gt;=Породы!$C$6,Индексы!B63&lt;=Породы!$D$6,Индексы!C63&gt;=Породы!$E$6,Индексы!C63&lt;=Породы!$F$6,Индексы!D63&gt;=Породы!$G$6,Индексы!D63&lt;=Породы!$H$6),IF(Индексы!B63&gt;0,Породы!$B$6," ")," ")</f>
        <v xml:space="preserve"> </v>
      </c>
      <c r="E64" s="31" t="str">
        <f>IF(AND(Индексы!B63&gt;=Породы!$C$7,Индексы!B63&lt;=Породы!$D$7,Индексы!C63&gt;=Породы!$E$7,Индексы!C63&lt;=Породы!$F$7,Индексы!D63&gt;=Породы!$G$7,Индексы!D63&lt;=Породы!$H$7),IF(Индексы!B63&gt;0,Породы!$B$7," ")," ")</f>
        <v xml:space="preserve"> </v>
      </c>
      <c r="F64" s="78" t="str">
        <f>IF(A64&gt;0,Индексы!B63,"")</f>
        <v/>
      </c>
    </row>
    <row r="65" spans="1:6" x14ac:dyDescent="0.25">
      <c r="A65" s="33">
        <f>Индексы!A64</f>
        <v>0</v>
      </c>
      <c r="B65" s="31" t="str">
        <f>IF(AND(Индексы!B64&gt;=Породы!$C$4,Индексы!B64&lt;=Породы!$D$4,Индексы!C64&gt;=Породы!$E$4,Индексы!C64&lt;=Породы!$F$4,Индексы!D64&gt;=Породы!$G$4,Индексы!D64&lt;=Породы!$H$4),IF(Индексы!B64&gt;0,Породы!$B$4," ")," ")</f>
        <v xml:space="preserve"> </v>
      </c>
      <c r="C65" s="31" t="str">
        <f>IF(AND(Индексы!B64&gt;=Породы!$C$5,Индексы!B64&lt;=Породы!$D$5,Индексы!C64&gt;=Породы!$E$5,Индексы!C64&lt;=Породы!$F$5,Индексы!D64&gt;=Породы!$G$5,Индексы!D64&lt;=Породы!$H$5),IF(Индексы!B64&gt;0,Породы!$B$5," ")," ")</f>
        <v xml:space="preserve"> </v>
      </c>
      <c r="D65" s="31" t="str">
        <f>IF(AND(Индексы!B64&gt;=Породы!$C$6,Индексы!B64&lt;=Породы!$D$6,Индексы!C64&gt;=Породы!$E$6,Индексы!C64&lt;=Породы!$F$6,Индексы!D64&gt;=Породы!$G$6,Индексы!D64&lt;=Породы!$H$6),IF(Индексы!B64&gt;0,Породы!$B$6," ")," ")</f>
        <v xml:space="preserve"> </v>
      </c>
      <c r="E65" s="31" t="str">
        <f>IF(AND(Индексы!B64&gt;=Породы!$C$7,Индексы!B64&lt;=Породы!$D$7,Индексы!C64&gt;=Породы!$E$7,Индексы!C64&lt;=Породы!$F$7,Индексы!D64&gt;=Породы!$G$7,Индексы!D64&lt;=Породы!$H$7),IF(Индексы!B64&gt;0,Породы!$B$7," ")," ")</f>
        <v xml:space="preserve"> </v>
      </c>
      <c r="F65" s="78" t="str">
        <f>IF(A65&gt;0,Индексы!B64,"")</f>
        <v/>
      </c>
    </row>
    <row r="66" spans="1:6" x14ac:dyDescent="0.25">
      <c r="A66" s="33">
        <f>Индексы!A65</f>
        <v>0</v>
      </c>
      <c r="B66" s="31" t="str">
        <f>IF(AND(Индексы!B65&gt;=Породы!$C$4,Индексы!B65&lt;=Породы!$D$4,Индексы!C65&gt;=Породы!$E$4,Индексы!C65&lt;=Породы!$F$4,Индексы!D65&gt;=Породы!$G$4,Индексы!D65&lt;=Породы!$H$4),IF(Индексы!B65&gt;0,Породы!$B$4," ")," ")</f>
        <v xml:space="preserve"> </v>
      </c>
      <c r="C66" s="31" t="str">
        <f>IF(AND(Индексы!B65&gt;=Породы!$C$5,Индексы!B65&lt;=Породы!$D$5,Индексы!C65&gt;=Породы!$E$5,Индексы!C65&lt;=Породы!$F$5,Индексы!D65&gt;=Породы!$G$5,Индексы!D65&lt;=Породы!$H$5),IF(Индексы!B65&gt;0,Породы!$B$5," ")," ")</f>
        <v xml:space="preserve"> </v>
      </c>
      <c r="D66" s="31" t="str">
        <f>IF(AND(Индексы!B65&gt;=Породы!$C$6,Индексы!B65&lt;=Породы!$D$6,Индексы!C65&gt;=Породы!$E$6,Индексы!C65&lt;=Породы!$F$6,Индексы!D65&gt;=Породы!$G$6,Индексы!D65&lt;=Породы!$H$6),IF(Индексы!B65&gt;0,Породы!$B$6," ")," ")</f>
        <v xml:space="preserve"> </v>
      </c>
      <c r="E66" s="31" t="str">
        <f>IF(AND(Индексы!B65&gt;=Породы!$C$7,Индексы!B65&lt;=Породы!$D$7,Индексы!C65&gt;=Породы!$E$7,Индексы!C65&lt;=Породы!$F$7,Индексы!D65&gt;=Породы!$G$7,Индексы!D65&lt;=Породы!$H$7),IF(Индексы!B65&gt;0,Породы!$B$7," ")," ")</f>
        <v xml:space="preserve"> </v>
      </c>
      <c r="F66" s="78" t="str">
        <f>IF(A66&gt;0,Индексы!B65,"")</f>
        <v/>
      </c>
    </row>
    <row r="67" spans="1:6" x14ac:dyDescent="0.25">
      <c r="A67" s="33">
        <f>Индексы!A66</f>
        <v>0</v>
      </c>
      <c r="B67" s="31" t="str">
        <f>IF(AND(Индексы!B66&gt;=Породы!$C$4,Индексы!B66&lt;=Породы!$D$4,Индексы!C66&gt;=Породы!$E$4,Индексы!C66&lt;=Породы!$F$4,Индексы!D66&gt;=Породы!$G$4,Индексы!D66&lt;=Породы!$H$4),IF(Индексы!B66&gt;0,Породы!$B$4," ")," ")</f>
        <v xml:space="preserve"> </v>
      </c>
      <c r="C67" s="31" t="str">
        <f>IF(AND(Индексы!B66&gt;=Породы!$C$5,Индексы!B66&lt;=Породы!$D$5,Индексы!C66&gt;=Породы!$E$5,Индексы!C66&lt;=Породы!$F$5,Индексы!D66&gt;=Породы!$G$5,Индексы!D66&lt;=Породы!$H$5),IF(Индексы!B66&gt;0,Породы!$B$5," ")," ")</f>
        <v xml:space="preserve"> </v>
      </c>
      <c r="D67" s="31" t="str">
        <f>IF(AND(Индексы!B66&gt;=Породы!$C$6,Индексы!B66&lt;=Породы!$D$6,Индексы!C66&gt;=Породы!$E$6,Индексы!C66&lt;=Породы!$F$6,Индексы!D66&gt;=Породы!$G$6,Индексы!D66&lt;=Породы!$H$6),IF(Индексы!B66&gt;0,Породы!$B$6," ")," ")</f>
        <v xml:space="preserve"> </v>
      </c>
      <c r="E67" s="31" t="str">
        <f>IF(AND(Индексы!B66&gt;=Породы!$C$7,Индексы!B66&lt;=Породы!$D$7,Индексы!C66&gt;=Породы!$E$7,Индексы!C66&lt;=Породы!$F$7,Индексы!D66&gt;=Породы!$G$7,Индексы!D66&lt;=Породы!$H$7),IF(Индексы!B66&gt;0,Породы!$B$7," ")," ")</f>
        <v xml:space="preserve"> </v>
      </c>
      <c r="F67" s="78" t="str">
        <f>IF(A67&gt;0,Индексы!B66,"")</f>
        <v/>
      </c>
    </row>
    <row r="68" spans="1:6" x14ac:dyDescent="0.25">
      <c r="A68" s="33">
        <f>Индексы!A67</f>
        <v>0</v>
      </c>
      <c r="B68" s="31" t="str">
        <f>IF(AND(Индексы!B67&gt;=Породы!$C$4,Индексы!B67&lt;=Породы!$D$4,Индексы!C67&gt;=Породы!$E$4,Индексы!C67&lt;=Породы!$F$4,Индексы!D67&gt;=Породы!$G$4,Индексы!D67&lt;=Породы!$H$4),IF(Индексы!B67&gt;0,Породы!$B$4," ")," ")</f>
        <v xml:space="preserve"> </v>
      </c>
      <c r="C68" s="31" t="str">
        <f>IF(AND(Индексы!B67&gt;=Породы!$C$5,Индексы!B67&lt;=Породы!$D$5,Индексы!C67&gt;=Породы!$E$5,Индексы!C67&lt;=Породы!$F$5,Индексы!D67&gt;=Породы!$G$5,Индексы!D67&lt;=Породы!$H$5),IF(Индексы!B67&gt;0,Породы!$B$5," ")," ")</f>
        <v xml:space="preserve"> </v>
      </c>
      <c r="D68" s="31" t="str">
        <f>IF(AND(Индексы!B67&gt;=Породы!$C$6,Индексы!B67&lt;=Породы!$D$6,Индексы!C67&gt;=Породы!$E$6,Индексы!C67&lt;=Породы!$F$6,Индексы!D67&gt;=Породы!$G$6,Индексы!D67&lt;=Породы!$H$6),IF(Индексы!B67&gt;0,Породы!$B$6," ")," ")</f>
        <v xml:space="preserve"> </v>
      </c>
      <c r="E68" s="31" t="str">
        <f>IF(AND(Индексы!B67&gt;=Породы!$C$7,Индексы!B67&lt;=Породы!$D$7,Индексы!C67&gt;=Породы!$E$7,Индексы!C67&lt;=Породы!$F$7,Индексы!D67&gt;=Породы!$G$7,Индексы!D67&lt;=Породы!$H$7),IF(Индексы!B67&gt;0,Породы!$B$7," ")," ")</f>
        <v xml:space="preserve"> </v>
      </c>
      <c r="F68" s="78" t="str">
        <f>IF(A68&gt;0,Индексы!B67,"")</f>
        <v/>
      </c>
    </row>
    <row r="69" spans="1:6" x14ac:dyDescent="0.25">
      <c r="A69" s="33">
        <f>Индексы!A68</f>
        <v>0</v>
      </c>
      <c r="B69" s="31" t="str">
        <f>IF(AND(Индексы!B68&gt;=Породы!$C$4,Индексы!B68&lt;=Породы!$D$4,Индексы!C68&gt;=Породы!$E$4,Индексы!C68&lt;=Породы!$F$4,Индексы!D68&gt;=Породы!$G$4,Индексы!D68&lt;=Породы!$H$4),IF(Индексы!B68&gt;0,Породы!$B$4," ")," ")</f>
        <v xml:space="preserve"> </v>
      </c>
      <c r="C69" s="31" t="str">
        <f>IF(AND(Индексы!B68&gt;=Породы!$C$5,Индексы!B68&lt;=Породы!$D$5,Индексы!C68&gt;=Породы!$E$5,Индексы!C68&lt;=Породы!$F$5,Индексы!D68&gt;=Породы!$G$5,Индексы!D68&lt;=Породы!$H$5),IF(Индексы!B68&gt;0,Породы!$B$5," ")," ")</f>
        <v xml:space="preserve"> </v>
      </c>
      <c r="D69" s="31" t="str">
        <f>IF(AND(Индексы!B68&gt;=Породы!$C$6,Индексы!B68&lt;=Породы!$D$6,Индексы!C68&gt;=Породы!$E$6,Индексы!C68&lt;=Породы!$F$6,Индексы!D68&gt;=Породы!$G$6,Индексы!D68&lt;=Породы!$H$6),IF(Индексы!B68&gt;0,Породы!$B$6," ")," ")</f>
        <v xml:space="preserve"> </v>
      </c>
      <c r="E69" s="31" t="str">
        <f>IF(AND(Индексы!B68&gt;=Породы!$C$7,Индексы!B68&lt;=Породы!$D$7,Индексы!C68&gt;=Породы!$E$7,Индексы!C68&lt;=Породы!$F$7,Индексы!D68&gt;=Породы!$G$7,Индексы!D68&lt;=Породы!$H$7),IF(Индексы!B68&gt;0,Породы!$B$7," ")," ")</f>
        <v xml:space="preserve"> </v>
      </c>
      <c r="F69" s="78" t="str">
        <f>IF(A69&gt;0,Индексы!B68,"")</f>
        <v/>
      </c>
    </row>
    <row r="70" spans="1:6" x14ac:dyDescent="0.25">
      <c r="A70" s="33">
        <f>Индексы!A69</f>
        <v>0</v>
      </c>
      <c r="B70" s="31" t="str">
        <f>IF(AND(Индексы!B69&gt;=Породы!$C$4,Индексы!B69&lt;=Породы!$D$4,Индексы!C69&gt;=Породы!$E$4,Индексы!C69&lt;=Породы!$F$4,Индексы!D69&gt;=Породы!$G$4,Индексы!D69&lt;=Породы!$H$4),IF(Индексы!B69&gt;0,Породы!$B$4," ")," ")</f>
        <v xml:space="preserve"> </v>
      </c>
      <c r="C70" s="31" t="str">
        <f>IF(AND(Индексы!B69&gt;=Породы!$C$5,Индексы!B69&lt;=Породы!$D$5,Индексы!C69&gt;=Породы!$E$5,Индексы!C69&lt;=Породы!$F$5,Индексы!D69&gt;=Породы!$G$5,Индексы!D69&lt;=Породы!$H$5),IF(Индексы!B69&gt;0,Породы!$B$5," ")," ")</f>
        <v xml:space="preserve"> </v>
      </c>
      <c r="D70" s="31" t="str">
        <f>IF(AND(Индексы!B69&gt;=Породы!$C$6,Индексы!B69&lt;=Породы!$D$6,Индексы!C69&gt;=Породы!$E$6,Индексы!C69&lt;=Породы!$F$6,Индексы!D69&gt;=Породы!$G$6,Индексы!D69&lt;=Породы!$H$6),IF(Индексы!B69&gt;0,Породы!$B$6," ")," ")</f>
        <v xml:space="preserve"> </v>
      </c>
      <c r="E70" s="31" t="str">
        <f>IF(AND(Индексы!B69&gt;=Породы!$C$7,Индексы!B69&lt;=Породы!$D$7,Индексы!C69&gt;=Породы!$E$7,Индексы!C69&lt;=Породы!$F$7,Индексы!D69&gt;=Породы!$G$7,Индексы!D69&lt;=Породы!$H$7),IF(Индексы!B69&gt;0,Породы!$B$7," ")," ")</f>
        <v xml:space="preserve"> </v>
      </c>
      <c r="F70" s="78" t="str">
        <f>IF(A70&gt;0,Индексы!B69,"")</f>
        <v/>
      </c>
    </row>
    <row r="71" spans="1:6" x14ac:dyDescent="0.25">
      <c r="A71" s="33">
        <f>Индексы!A70</f>
        <v>0</v>
      </c>
      <c r="B71" s="31" t="str">
        <f>IF(AND(Индексы!B70&gt;=Породы!$C$4,Индексы!B70&lt;=Породы!$D$4,Индексы!C70&gt;=Породы!$E$4,Индексы!C70&lt;=Породы!$F$4,Индексы!D70&gt;=Породы!$G$4,Индексы!D70&lt;=Породы!$H$4),IF(Индексы!B70&gt;0,Породы!$B$4," ")," ")</f>
        <v xml:space="preserve"> </v>
      </c>
      <c r="C71" s="31" t="str">
        <f>IF(AND(Индексы!B70&gt;=Породы!$C$5,Индексы!B70&lt;=Породы!$D$5,Индексы!C70&gt;=Породы!$E$5,Индексы!C70&lt;=Породы!$F$5,Индексы!D70&gt;=Породы!$G$5,Индексы!D70&lt;=Породы!$H$5),IF(Индексы!B70&gt;0,Породы!$B$5," ")," ")</f>
        <v xml:space="preserve"> </v>
      </c>
      <c r="D71" s="31" t="str">
        <f>IF(AND(Индексы!B70&gt;=Породы!$C$6,Индексы!B70&lt;=Породы!$D$6,Индексы!C70&gt;=Породы!$E$6,Индексы!C70&lt;=Породы!$F$6,Индексы!D70&gt;=Породы!$G$6,Индексы!D70&lt;=Породы!$H$6),IF(Индексы!B70&gt;0,Породы!$B$6," ")," ")</f>
        <v xml:space="preserve"> </v>
      </c>
      <c r="E71" s="31" t="str">
        <f>IF(AND(Индексы!B70&gt;=Породы!$C$7,Индексы!B70&lt;=Породы!$D$7,Индексы!C70&gt;=Породы!$E$7,Индексы!C70&lt;=Породы!$F$7,Индексы!D70&gt;=Породы!$G$7,Индексы!D70&lt;=Породы!$H$7),IF(Индексы!B70&gt;0,Породы!$B$7," ")," ")</f>
        <v xml:space="preserve"> </v>
      </c>
      <c r="F71" s="78" t="str">
        <f>IF(A71&gt;0,Индексы!B70,"")</f>
        <v/>
      </c>
    </row>
    <row r="72" spans="1:6" x14ac:dyDescent="0.25">
      <c r="A72" s="33">
        <f>Индексы!A71</f>
        <v>0</v>
      </c>
      <c r="B72" s="31" t="str">
        <f>IF(AND(Индексы!B71&gt;=Породы!$C$4,Индексы!B71&lt;=Породы!$D$4,Индексы!C71&gt;=Породы!$E$4,Индексы!C71&lt;=Породы!$F$4,Индексы!D71&gt;=Породы!$G$4,Индексы!D71&lt;=Породы!$H$4),IF(Индексы!B71&gt;0,Породы!$B$4," ")," ")</f>
        <v xml:space="preserve"> </v>
      </c>
      <c r="C72" s="31" t="str">
        <f>IF(AND(Индексы!B71&gt;=Породы!$C$5,Индексы!B71&lt;=Породы!$D$5,Индексы!C71&gt;=Породы!$E$5,Индексы!C71&lt;=Породы!$F$5,Индексы!D71&gt;=Породы!$G$5,Индексы!D71&lt;=Породы!$H$5),IF(Индексы!B71&gt;0,Породы!$B$5," ")," ")</f>
        <v xml:space="preserve"> </v>
      </c>
      <c r="D72" s="31" t="str">
        <f>IF(AND(Индексы!B71&gt;=Породы!$C$6,Индексы!B71&lt;=Породы!$D$6,Индексы!C71&gt;=Породы!$E$6,Индексы!C71&lt;=Породы!$F$6,Индексы!D71&gt;=Породы!$G$6,Индексы!D71&lt;=Породы!$H$6),IF(Индексы!B71&gt;0,Породы!$B$6," ")," ")</f>
        <v xml:space="preserve"> </v>
      </c>
      <c r="E72" s="31" t="str">
        <f>IF(AND(Индексы!B71&gt;=Породы!$C$7,Индексы!B71&lt;=Породы!$D$7,Индексы!C71&gt;=Породы!$E$7,Индексы!C71&lt;=Породы!$F$7,Индексы!D71&gt;=Породы!$G$7,Индексы!D71&lt;=Породы!$H$7),IF(Индексы!B71&gt;0,Породы!$B$7," ")," ")</f>
        <v xml:space="preserve"> </v>
      </c>
      <c r="F72" s="78" t="str">
        <f>IF(A72&gt;0,Индексы!B71,"")</f>
        <v/>
      </c>
    </row>
    <row r="73" spans="1:6" x14ac:dyDescent="0.25">
      <c r="A73" s="33">
        <f>Индексы!A72</f>
        <v>0</v>
      </c>
      <c r="B73" s="31" t="str">
        <f>IF(AND(Индексы!B72&gt;=Породы!$C$4,Индексы!B72&lt;=Породы!$D$4,Индексы!C72&gt;=Породы!$E$4,Индексы!C72&lt;=Породы!$F$4,Индексы!D72&gt;=Породы!$G$4,Индексы!D72&lt;=Породы!$H$4),IF(Индексы!B72&gt;0,Породы!$B$4," ")," ")</f>
        <v xml:space="preserve"> </v>
      </c>
      <c r="C73" s="31" t="str">
        <f>IF(AND(Индексы!B72&gt;=Породы!$C$5,Индексы!B72&lt;=Породы!$D$5,Индексы!C72&gt;=Породы!$E$5,Индексы!C72&lt;=Породы!$F$5,Индексы!D72&gt;=Породы!$G$5,Индексы!D72&lt;=Породы!$H$5),IF(Индексы!B72&gt;0,Породы!$B$5," ")," ")</f>
        <v xml:space="preserve"> </v>
      </c>
      <c r="D73" s="31" t="str">
        <f>IF(AND(Индексы!B72&gt;=Породы!$C$6,Индексы!B72&lt;=Породы!$D$6,Индексы!C72&gt;=Породы!$E$6,Индексы!C72&lt;=Породы!$F$6,Индексы!D72&gt;=Породы!$G$6,Индексы!D72&lt;=Породы!$H$6),IF(Индексы!B72&gt;0,Породы!$B$6," ")," ")</f>
        <v xml:space="preserve"> </v>
      </c>
      <c r="E73" s="31" t="str">
        <f>IF(AND(Индексы!B72&gt;=Породы!$C$7,Индексы!B72&lt;=Породы!$D$7,Индексы!C72&gt;=Породы!$E$7,Индексы!C72&lt;=Породы!$F$7,Индексы!D72&gt;=Породы!$G$7,Индексы!D72&lt;=Породы!$H$7),IF(Индексы!B72&gt;0,Породы!$B$7," ")," ")</f>
        <v xml:space="preserve"> </v>
      </c>
      <c r="F73" s="78" t="str">
        <f>IF(A73&gt;0,Индексы!B72,"")</f>
        <v/>
      </c>
    </row>
    <row r="74" spans="1:6" x14ac:dyDescent="0.25">
      <c r="A74" s="33">
        <f>Индексы!A73</f>
        <v>0</v>
      </c>
      <c r="B74" s="31" t="str">
        <f>IF(AND(Индексы!B73&gt;=Породы!$C$4,Индексы!B73&lt;=Породы!$D$4,Индексы!C73&gt;=Породы!$E$4,Индексы!C73&lt;=Породы!$F$4,Индексы!D73&gt;=Породы!$G$4,Индексы!D73&lt;=Породы!$H$4),IF(Индексы!B73&gt;0,Породы!$B$4," ")," ")</f>
        <v xml:space="preserve"> </v>
      </c>
      <c r="C74" s="31" t="str">
        <f>IF(AND(Индексы!B73&gt;=Породы!$C$5,Индексы!B73&lt;=Породы!$D$5,Индексы!C73&gt;=Породы!$E$5,Индексы!C73&lt;=Породы!$F$5,Индексы!D73&gt;=Породы!$G$5,Индексы!D73&lt;=Породы!$H$5),IF(Индексы!B73&gt;0,Породы!$B$5," ")," ")</f>
        <v xml:space="preserve"> </v>
      </c>
      <c r="D74" s="31" t="str">
        <f>IF(AND(Индексы!B73&gt;=Породы!$C$6,Индексы!B73&lt;=Породы!$D$6,Индексы!C73&gt;=Породы!$E$6,Индексы!C73&lt;=Породы!$F$6,Индексы!D73&gt;=Породы!$G$6,Индексы!D73&lt;=Породы!$H$6),IF(Индексы!B73&gt;0,Породы!$B$6," ")," ")</f>
        <v xml:space="preserve"> </v>
      </c>
      <c r="E74" s="31" t="str">
        <f>IF(AND(Индексы!B73&gt;=Породы!$C$7,Индексы!B73&lt;=Породы!$D$7,Индексы!C73&gt;=Породы!$E$7,Индексы!C73&lt;=Породы!$F$7,Индексы!D73&gt;=Породы!$G$7,Индексы!D73&lt;=Породы!$H$7),IF(Индексы!B73&gt;0,Породы!$B$7," ")," ")</f>
        <v xml:space="preserve"> </v>
      </c>
      <c r="F74" s="78" t="str">
        <f>IF(A74&gt;0,Индексы!B73,"")</f>
        <v/>
      </c>
    </row>
    <row r="75" spans="1:6" x14ac:dyDescent="0.25">
      <c r="A75" s="33">
        <f>Индексы!A74</f>
        <v>0</v>
      </c>
      <c r="B75" s="31" t="str">
        <f>IF(AND(Индексы!B74&gt;=Породы!$C$4,Индексы!B74&lt;=Породы!$D$4,Индексы!C74&gt;=Породы!$E$4,Индексы!C74&lt;=Породы!$F$4,Индексы!D74&gt;=Породы!$G$4,Индексы!D74&lt;=Породы!$H$4),IF(Индексы!B74&gt;0,Породы!$B$4," ")," ")</f>
        <v xml:space="preserve"> </v>
      </c>
      <c r="C75" s="31" t="str">
        <f>IF(AND(Индексы!B74&gt;=Породы!$C$5,Индексы!B74&lt;=Породы!$D$5,Индексы!C74&gt;=Породы!$E$5,Индексы!C74&lt;=Породы!$F$5,Индексы!D74&gt;=Породы!$G$5,Индексы!D74&lt;=Породы!$H$5),IF(Индексы!B74&gt;0,Породы!$B$5," ")," ")</f>
        <v xml:space="preserve"> </v>
      </c>
      <c r="D75" s="31" t="str">
        <f>IF(AND(Индексы!B74&gt;=Породы!$C$6,Индексы!B74&lt;=Породы!$D$6,Индексы!C74&gt;=Породы!$E$6,Индексы!C74&lt;=Породы!$F$6,Индексы!D74&gt;=Породы!$G$6,Индексы!D74&lt;=Породы!$H$6),IF(Индексы!B74&gt;0,Породы!$B$6," ")," ")</f>
        <v xml:space="preserve"> </v>
      </c>
      <c r="E75" s="31" t="str">
        <f>IF(AND(Индексы!B74&gt;=Породы!$C$7,Индексы!B74&lt;=Породы!$D$7,Индексы!C74&gt;=Породы!$E$7,Индексы!C74&lt;=Породы!$F$7,Индексы!D74&gt;=Породы!$G$7,Индексы!D74&lt;=Породы!$H$7),IF(Индексы!B74&gt;0,Породы!$B$7," ")," ")</f>
        <v xml:space="preserve"> </v>
      </c>
      <c r="F75" s="78" t="str">
        <f>IF(A75&gt;0,Индексы!B74,"")</f>
        <v/>
      </c>
    </row>
    <row r="76" spans="1:6" x14ac:dyDescent="0.25">
      <c r="A76" s="33">
        <f>Индексы!A75</f>
        <v>0</v>
      </c>
      <c r="B76" s="31" t="str">
        <f>IF(AND(Индексы!B75&gt;=Породы!$C$4,Индексы!B75&lt;=Породы!$D$4,Индексы!C75&gt;=Породы!$E$4,Индексы!C75&lt;=Породы!$F$4,Индексы!D75&gt;=Породы!$G$4,Индексы!D75&lt;=Породы!$H$4),IF(Индексы!B75&gt;0,Породы!$B$4," ")," ")</f>
        <v xml:space="preserve"> </v>
      </c>
      <c r="C76" s="31" t="str">
        <f>IF(AND(Индексы!B75&gt;=Породы!$C$5,Индексы!B75&lt;=Породы!$D$5,Индексы!C75&gt;=Породы!$E$5,Индексы!C75&lt;=Породы!$F$5,Индексы!D75&gt;=Породы!$G$5,Индексы!D75&lt;=Породы!$H$5),IF(Индексы!B75&gt;0,Породы!$B$5," ")," ")</f>
        <v xml:space="preserve"> </v>
      </c>
      <c r="D76" s="31" t="str">
        <f>IF(AND(Индексы!B75&gt;=Породы!$C$6,Индексы!B75&lt;=Породы!$D$6,Индексы!C75&gt;=Породы!$E$6,Индексы!C75&lt;=Породы!$F$6,Индексы!D75&gt;=Породы!$G$6,Индексы!D75&lt;=Породы!$H$6),IF(Индексы!B75&gt;0,Породы!$B$6," ")," ")</f>
        <v xml:space="preserve"> </v>
      </c>
      <c r="E76" s="31" t="str">
        <f>IF(AND(Индексы!B75&gt;=Породы!$C$7,Индексы!B75&lt;=Породы!$D$7,Индексы!C75&gt;=Породы!$E$7,Индексы!C75&lt;=Породы!$F$7,Индексы!D75&gt;=Породы!$G$7,Индексы!D75&lt;=Породы!$H$7),IF(Индексы!B75&gt;0,Породы!$B$7," ")," ")</f>
        <v xml:space="preserve"> </v>
      </c>
      <c r="F76" s="78" t="str">
        <f>IF(A76&gt;0,Индексы!B75,"")</f>
        <v/>
      </c>
    </row>
    <row r="77" spans="1:6" x14ac:dyDescent="0.25">
      <c r="A77" s="33">
        <f>Индексы!A76</f>
        <v>0</v>
      </c>
      <c r="B77" s="31" t="str">
        <f>IF(AND(Индексы!B76&gt;=Породы!$C$4,Индексы!B76&lt;=Породы!$D$4,Индексы!C76&gt;=Породы!$E$4,Индексы!C76&lt;=Породы!$F$4,Индексы!D76&gt;=Породы!$G$4,Индексы!D76&lt;=Породы!$H$4),IF(Индексы!B76&gt;0,Породы!$B$4," ")," ")</f>
        <v xml:space="preserve"> </v>
      </c>
      <c r="C77" s="31" t="str">
        <f>IF(AND(Индексы!B76&gt;=Породы!$C$5,Индексы!B76&lt;=Породы!$D$5,Индексы!C76&gt;=Породы!$E$5,Индексы!C76&lt;=Породы!$F$5,Индексы!D76&gt;=Породы!$G$5,Индексы!D76&lt;=Породы!$H$5),IF(Индексы!B76&gt;0,Породы!$B$5," ")," ")</f>
        <v xml:space="preserve"> </v>
      </c>
      <c r="D77" s="31" t="str">
        <f>IF(AND(Индексы!B76&gt;=Породы!$C$6,Индексы!B76&lt;=Породы!$D$6,Индексы!C76&gt;=Породы!$E$6,Индексы!C76&lt;=Породы!$F$6,Индексы!D76&gt;=Породы!$G$6,Индексы!D76&lt;=Породы!$H$6),IF(Индексы!B76&gt;0,Породы!$B$6," ")," ")</f>
        <v xml:space="preserve"> </v>
      </c>
      <c r="E77" s="31" t="str">
        <f>IF(AND(Индексы!B76&gt;=Породы!$C$7,Индексы!B76&lt;=Породы!$D$7,Индексы!C76&gt;=Породы!$E$7,Индексы!C76&lt;=Породы!$F$7,Индексы!D76&gt;=Породы!$G$7,Индексы!D76&lt;=Породы!$H$7),IF(Индексы!B76&gt;0,Породы!$B$7," ")," ")</f>
        <v xml:space="preserve"> </v>
      </c>
      <c r="F77" s="78" t="str">
        <f>IF(A77&gt;0,Индексы!B76,"")</f>
        <v/>
      </c>
    </row>
    <row r="78" spans="1:6" x14ac:dyDescent="0.25">
      <c r="A78" s="33">
        <f>Индексы!A77</f>
        <v>0</v>
      </c>
      <c r="B78" s="31" t="str">
        <f>IF(AND(Индексы!B77&gt;=Породы!$C$4,Индексы!B77&lt;=Породы!$D$4,Индексы!C77&gt;=Породы!$E$4,Индексы!C77&lt;=Породы!$F$4,Индексы!D77&gt;=Породы!$G$4,Индексы!D77&lt;=Породы!$H$4),IF(Индексы!B77&gt;0,Породы!$B$4," ")," ")</f>
        <v xml:space="preserve"> </v>
      </c>
      <c r="C78" s="31" t="str">
        <f>IF(AND(Индексы!B77&gt;=Породы!$C$5,Индексы!B77&lt;=Породы!$D$5,Индексы!C77&gt;=Породы!$E$5,Индексы!C77&lt;=Породы!$F$5,Индексы!D77&gt;=Породы!$G$5,Индексы!D77&lt;=Породы!$H$5),IF(Индексы!B77&gt;0,Породы!$B$5," ")," ")</f>
        <v xml:space="preserve"> </v>
      </c>
      <c r="D78" s="31" t="str">
        <f>IF(AND(Индексы!B77&gt;=Породы!$C$6,Индексы!B77&lt;=Породы!$D$6,Индексы!C77&gt;=Породы!$E$6,Индексы!C77&lt;=Породы!$F$6,Индексы!D77&gt;=Породы!$G$6,Индексы!D77&lt;=Породы!$H$6),IF(Индексы!B77&gt;0,Породы!$B$6," ")," ")</f>
        <v xml:space="preserve"> </v>
      </c>
      <c r="E78" s="31" t="str">
        <f>IF(AND(Индексы!B77&gt;=Породы!$C$7,Индексы!B77&lt;=Породы!$D$7,Индексы!C77&gt;=Породы!$E$7,Индексы!C77&lt;=Породы!$F$7,Индексы!D77&gt;=Породы!$G$7,Индексы!D77&lt;=Породы!$H$7),IF(Индексы!B77&gt;0,Породы!$B$7," ")," ")</f>
        <v xml:space="preserve"> </v>
      </c>
      <c r="F78" s="78" t="str">
        <f>IF(A78&gt;0,Индексы!B77,"")</f>
        <v/>
      </c>
    </row>
    <row r="79" spans="1:6" x14ac:dyDescent="0.25">
      <c r="A79" s="33">
        <f>Индексы!A78</f>
        <v>0</v>
      </c>
      <c r="B79" s="31" t="str">
        <f>IF(AND(Индексы!B78&gt;=Породы!$C$4,Индексы!B78&lt;=Породы!$D$4,Индексы!C78&gt;=Породы!$E$4,Индексы!C78&lt;=Породы!$F$4,Индексы!D78&gt;=Породы!$G$4,Индексы!D78&lt;=Породы!$H$4),IF(Индексы!B78&gt;0,Породы!$B$4," ")," ")</f>
        <v xml:space="preserve"> </v>
      </c>
      <c r="C79" s="31" t="str">
        <f>IF(AND(Индексы!B78&gt;=Породы!$C$5,Индексы!B78&lt;=Породы!$D$5,Индексы!C78&gt;=Породы!$E$5,Индексы!C78&lt;=Породы!$F$5,Индексы!D78&gt;=Породы!$G$5,Индексы!D78&lt;=Породы!$H$5),IF(Индексы!B78&gt;0,Породы!$B$5," ")," ")</f>
        <v xml:space="preserve"> </v>
      </c>
      <c r="D79" s="31" t="str">
        <f>IF(AND(Индексы!B78&gt;=Породы!$C$6,Индексы!B78&lt;=Породы!$D$6,Индексы!C78&gt;=Породы!$E$6,Индексы!C78&lt;=Породы!$F$6,Индексы!D78&gt;=Породы!$G$6,Индексы!D78&lt;=Породы!$H$6),IF(Индексы!B78&gt;0,Породы!$B$6," ")," ")</f>
        <v xml:space="preserve"> </v>
      </c>
      <c r="E79" s="31" t="str">
        <f>IF(AND(Индексы!B78&gt;=Породы!$C$7,Индексы!B78&lt;=Породы!$D$7,Индексы!C78&gt;=Породы!$E$7,Индексы!C78&lt;=Породы!$F$7,Индексы!D78&gt;=Породы!$G$7,Индексы!D78&lt;=Породы!$H$7),IF(Индексы!B78&gt;0,Породы!$B$7," ")," ")</f>
        <v xml:space="preserve"> </v>
      </c>
      <c r="F79" s="78" t="str">
        <f>IF(A79&gt;0,Индексы!B78,"")</f>
        <v/>
      </c>
    </row>
    <row r="80" spans="1:6" x14ac:dyDescent="0.25">
      <c r="A80" s="33">
        <f>Индексы!A79</f>
        <v>0</v>
      </c>
      <c r="B80" s="31" t="str">
        <f>IF(AND(Индексы!B79&gt;=Породы!$C$4,Индексы!B79&lt;=Породы!$D$4,Индексы!C79&gt;=Породы!$E$4,Индексы!C79&lt;=Породы!$F$4,Индексы!D79&gt;=Породы!$G$4,Индексы!D79&lt;=Породы!$H$4),IF(Индексы!B79&gt;0,Породы!$B$4," ")," ")</f>
        <v xml:space="preserve"> </v>
      </c>
      <c r="C80" s="31" t="str">
        <f>IF(AND(Индексы!B79&gt;=Породы!$C$5,Индексы!B79&lt;=Породы!$D$5,Индексы!C79&gt;=Породы!$E$5,Индексы!C79&lt;=Породы!$F$5,Индексы!D79&gt;=Породы!$G$5,Индексы!D79&lt;=Породы!$H$5),IF(Индексы!B79&gt;0,Породы!$B$5," ")," ")</f>
        <v xml:space="preserve"> </v>
      </c>
      <c r="D80" s="31" t="str">
        <f>IF(AND(Индексы!B79&gt;=Породы!$C$6,Индексы!B79&lt;=Породы!$D$6,Индексы!C79&gt;=Породы!$E$6,Индексы!C79&lt;=Породы!$F$6,Индексы!D79&gt;=Породы!$G$6,Индексы!D79&lt;=Породы!$H$6),IF(Индексы!B79&gt;0,Породы!$B$6," ")," ")</f>
        <v xml:space="preserve"> </v>
      </c>
      <c r="E80" s="31" t="str">
        <f>IF(AND(Индексы!B79&gt;=Породы!$C$7,Индексы!B79&lt;=Породы!$D$7,Индексы!C79&gt;=Породы!$E$7,Индексы!C79&lt;=Породы!$F$7,Индексы!D79&gt;=Породы!$G$7,Индексы!D79&lt;=Породы!$H$7),IF(Индексы!B79&gt;0,Породы!$B$7," ")," ")</f>
        <v xml:space="preserve"> </v>
      </c>
      <c r="F80" s="78" t="str">
        <f>IF(A80&gt;0,Индексы!B79,"")</f>
        <v/>
      </c>
    </row>
    <row r="81" spans="1:6" x14ac:dyDescent="0.25">
      <c r="A81" s="33">
        <f>Индексы!A80</f>
        <v>0</v>
      </c>
      <c r="B81" s="31" t="str">
        <f>IF(AND(Индексы!B80&gt;=Породы!$C$4,Индексы!B80&lt;=Породы!$D$4,Индексы!C80&gt;=Породы!$E$4,Индексы!C80&lt;=Породы!$F$4,Индексы!D80&gt;=Породы!$G$4,Индексы!D80&lt;=Породы!$H$4),IF(Индексы!B80&gt;0,Породы!$B$4," ")," ")</f>
        <v xml:space="preserve"> </v>
      </c>
      <c r="C81" s="31" t="str">
        <f>IF(AND(Индексы!B80&gt;=Породы!$C$5,Индексы!B80&lt;=Породы!$D$5,Индексы!C80&gt;=Породы!$E$5,Индексы!C80&lt;=Породы!$F$5,Индексы!D80&gt;=Породы!$G$5,Индексы!D80&lt;=Породы!$H$5),IF(Индексы!B80&gt;0,Породы!$B$5," ")," ")</f>
        <v xml:space="preserve"> </v>
      </c>
      <c r="D81" s="31" t="str">
        <f>IF(AND(Индексы!B80&gt;=Породы!$C$6,Индексы!B80&lt;=Породы!$D$6,Индексы!C80&gt;=Породы!$E$6,Индексы!C80&lt;=Породы!$F$6,Индексы!D80&gt;=Породы!$G$6,Индексы!D80&lt;=Породы!$H$6),IF(Индексы!B80&gt;0,Породы!$B$6," ")," ")</f>
        <v xml:space="preserve"> </v>
      </c>
      <c r="E81" s="31" t="str">
        <f>IF(AND(Индексы!B80&gt;=Породы!$C$7,Индексы!B80&lt;=Породы!$D$7,Индексы!C80&gt;=Породы!$E$7,Индексы!C80&lt;=Породы!$F$7,Индексы!D80&gt;=Породы!$G$7,Индексы!D80&lt;=Породы!$H$7),IF(Индексы!B80&gt;0,Породы!$B$7," ")," ")</f>
        <v xml:space="preserve"> </v>
      </c>
      <c r="F81" s="78" t="str">
        <f>IF(A81&gt;0,Индексы!B80,"")</f>
        <v/>
      </c>
    </row>
    <row r="82" spans="1:6" x14ac:dyDescent="0.25">
      <c r="A82" s="33">
        <f>Индексы!A81</f>
        <v>0</v>
      </c>
      <c r="B82" s="31" t="str">
        <f>IF(AND(Индексы!B81&gt;=Породы!$C$4,Индексы!B81&lt;=Породы!$D$4,Индексы!C81&gt;=Породы!$E$4,Индексы!C81&lt;=Породы!$F$4,Индексы!D81&gt;=Породы!$G$4,Индексы!D81&lt;=Породы!$H$4),IF(Индексы!B81&gt;0,Породы!$B$4," ")," ")</f>
        <v xml:space="preserve"> </v>
      </c>
      <c r="C82" s="31" t="str">
        <f>IF(AND(Индексы!B81&gt;=Породы!$C$5,Индексы!B81&lt;=Породы!$D$5,Индексы!C81&gt;=Породы!$E$5,Индексы!C81&lt;=Породы!$F$5,Индексы!D81&gt;=Породы!$G$5,Индексы!D81&lt;=Породы!$H$5),IF(Индексы!B81&gt;0,Породы!$B$5," ")," ")</f>
        <v xml:space="preserve"> </v>
      </c>
      <c r="D82" s="31" t="str">
        <f>IF(AND(Индексы!B81&gt;=Породы!$C$6,Индексы!B81&lt;=Породы!$D$6,Индексы!C81&gt;=Породы!$E$6,Индексы!C81&lt;=Породы!$F$6,Индексы!D81&gt;=Породы!$G$6,Индексы!D81&lt;=Породы!$H$6),IF(Индексы!B81&gt;0,Породы!$B$6," ")," ")</f>
        <v xml:space="preserve"> </v>
      </c>
      <c r="E82" s="31" t="str">
        <f>IF(AND(Индексы!B81&gt;=Породы!$C$7,Индексы!B81&lt;=Породы!$D$7,Индексы!C81&gt;=Породы!$E$7,Индексы!C81&lt;=Породы!$F$7,Индексы!D81&gt;=Породы!$G$7,Индексы!D81&lt;=Породы!$H$7),IF(Индексы!B81&gt;0,Породы!$B$7," ")," ")</f>
        <v xml:space="preserve"> </v>
      </c>
      <c r="F82" s="78" t="str">
        <f>IF(A82&gt;0,Индексы!B81,"")</f>
        <v/>
      </c>
    </row>
    <row r="83" spans="1:6" x14ac:dyDescent="0.25">
      <c r="A83" s="33">
        <f>Индексы!A82</f>
        <v>0</v>
      </c>
      <c r="B83" s="31" t="str">
        <f>IF(AND(Индексы!B82&gt;=Породы!$C$4,Индексы!B82&lt;=Породы!$D$4,Индексы!C82&gt;=Породы!$E$4,Индексы!C82&lt;=Породы!$F$4,Индексы!D82&gt;=Породы!$G$4,Индексы!D82&lt;=Породы!$H$4),IF(Индексы!B82&gt;0,Породы!$B$4," ")," ")</f>
        <v xml:space="preserve"> </v>
      </c>
      <c r="C83" s="31" t="str">
        <f>IF(AND(Индексы!B82&gt;=Породы!$C$5,Индексы!B82&lt;=Породы!$D$5,Индексы!C82&gt;=Породы!$E$5,Индексы!C82&lt;=Породы!$F$5,Индексы!D82&gt;=Породы!$G$5,Индексы!D82&lt;=Породы!$H$5),IF(Индексы!B82&gt;0,Породы!$B$5," ")," ")</f>
        <v xml:space="preserve"> </v>
      </c>
      <c r="D83" s="31" t="str">
        <f>IF(AND(Индексы!B82&gt;=Породы!$C$6,Индексы!B82&lt;=Породы!$D$6,Индексы!C82&gt;=Породы!$E$6,Индексы!C82&lt;=Породы!$F$6,Индексы!D82&gt;=Породы!$G$6,Индексы!D82&lt;=Породы!$H$6),IF(Индексы!B82&gt;0,Породы!$B$6," ")," ")</f>
        <v xml:space="preserve"> </v>
      </c>
      <c r="E83" s="31" t="str">
        <f>IF(AND(Индексы!B82&gt;=Породы!$C$7,Индексы!B82&lt;=Породы!$D$7,Индексы!C82&gt;=Породы!$E$7,Индексы!C82&lt;=Породы!$F$7,Индексы!D82&gt;=Породы!$G$7,Индексы!D82&lt;=Породы!$H$7),IF(Индексы!B82&gt;0,Породы!$B$7," ")," ")</f>
        <v xml:space="preserve"> </v>
      </c>
      <c r="F83" s="78" t="str">
        <f>IF(A83&gt;0,Индексы!B82,"")</f>
        <v/>
      </c>
    </row>
    <row r="84" spans="1:6" x14ac:dyDescent="0.25">
      <c r="A84" s="33">
        <f>Индексы!A83</f>
        <v>0</v>
      </c>
      <c r="B84" s="31" t="str">
        <f>IF(AND(Индексы!B83&gt;=Породы!$C$4,Индексы!B83&lt;=Породы!$D$4,Индексы!C83&gt;=Породы!$E$4,Индексы!C83&lt;=Породы!$F$4,Индексы!D83&gt;=Породы!$G$4,Индексы!D83&lt;=Породы!$H$4),IF(Индексы!B83&gt;0,Породы!$B$4," ")," ")</f>
        <v xml:space="preserve"> </v>
      </c>
      <c r="C84" s="31" t="str">
        <f>IF(AND(Индексы!B83&gt;=Породы!$C$5,Индексы!B83&lt;=Породы!$D$5,Индексы!C83&gt;=Породы!$E$5,Индексы!C83&lt;=Породы!$F$5,Индексы!D83&gt;=Породы!$G$5,Индексы!D83&lt;=Породы!$H$5),IF(Индексы!B83&gt;0,Породы!$B$5," ")," ")</f>
        <v xml:space="preserve"> </v>
      </c>
      <c r="D84" s="31" t="str">
        <f>IF(AND(Индексы!B83&gt;=Породы!$C$6,Индексы!B83&lt;=Породы!$D$6,Индексы!C83&gt;=Породы!$E$6,Индексы!C83&lt;=Породы!$F$6,Индексы!D83&gt;=Породы!$G$6,Индексы!D83&lt;=Породы!$H$6),IF(Индексы!B83&gt;0,Породы!$B$6," ")," ")</f>
        <v xml:space="preserve"> </v>
      </c>
      <c r="E84" s="31" t="str">
        <f>IF(AND(Индексы!B83&gt;=Породы!$C$7,Индексы!B83&lt;=Породы!$D$7,Индексы!C83&gt;=Породы!$E$7,Индексы!C83&lt;=Породы!$F$7,Индексы!D83&gt;=Породы!$G$7,Индексы!D83&lt;=Породы!$H$7),IF(Индексы!B83&gt;0,Породы!$B$7," ")," ")</f>
        <v xml:space="preserve"> </v>
      </c>
      <c r="F84" s="78" t="str">
        <f>IF(A84&gt;0,Индексы!B83,"")</f>
        <v/>
      </c>
    </row>
    <row r="85" spans="1:6" x14ac:dyDescent="0.25">
      <c r="A85" s="33">
        <f>Индексы!A84</f>
        <v>0</v>
      </c>
      <c r="B85" s="31" t="str">
        <f>IF(AND(Индексы!B84&gt;=Породы!$C$4,Индексы!B84&lt;=Породы!$D$4,Индексы!C84&gt;=Породы!$E$4,Индексы!C84&lt;=Породы!$F$4,Индексы!D84&gt;=Породы!$G$4,Индексы!D84&lt;=Породы!$H$4),IF(Индексы!B84&gt;0,Породы!$B$4," ")," ")</f>
        <v xml:space="preserve"> </v>
      </c>
      <c r="C85" s="31" t="str">
        <f>IF(AND(Индексы!B84&gt;=Породы!$C$5,Индексы!B84&lt;=Породы!$D$5,Индексы!C84&gt;=Породы!$E$5,Индексы!C84&lt;=Породы!$F$5,Индексы!D84&gt;=Породы!$G$5,Индексы!D84&lt;=Породы!$H$5),IF(Индексы!B84&gt;0,Породы!$B$5," ")," ")</f>
        <v xml:space="preserve"> </v>
      </c>
      <c r="D85" s="31" t="str">
        <f>IF(AND(Индексы!B84&gt;=Породы!$C$6,Индексы!B84&lt;=Породы!$D$6,Индексы!C84&gt;=Породы!$E$6,Индексы!C84&lt;=Породы!$F$6,Индексы!D84&gt;=Породы!$G$6,Индексы!D84&lt;=Породы!$H$6),IF(Индексы!B84&gt;0,Породы!$B$6," ")," ")</f>
        <v xml:space="preserve"> </v>
      </c>
      <c r="E85" s="31" t="str">
        <f>IF(AND(Индексы!B84&gt;=Породы!$C$7,Индексы!B84&lt;=Породы!$D$7,Индексы!C84&gt;=Породы!$E$7,Индексы!C84&lt;=Породы!$F$7,Индексы!D84&gt;=Породы!$G$7,Индексы!D84&lt;=Породы!$H$7),IF(Индексы!B84&gt;0,Породы!$B$7," ")," ")</f>
        <v xml:space="preserve"> </v>
      </c>
      <c r="F85" s="78" t="str">
        <f>IF(A85&gt;0,Индексы!B84,"")</f>
        <v/>
      </c>
    </row>
    <row r="86" spans="1:6" x14ac:dyDescent="0.25">
      <c r="A86" s="33">
        <f>Индексы!A85</f>
        <v>0</v>
      </c>
      <c r="B86" s="31" t="str">
        <f>IF(AND(Индексы!B85&gt;=Породы!$C$4,Индексы!B85&lt;=Породы!$D$4,Индексы!C85&gt;=Породы!$E$4,Индексы!C85&lt;=Породы!$F$4,Индексы!D85&gt;=Породы!$G$4,Индексы!D85&lt;=Породы!$H$4),IF(Индексы!B85&gt;0,Породы!$B$4," ")," ")</f>
        <v xml:space="preserve"> </v>
      </c>
      <c r="C86" s="31" t="str">
        <f>IF(AND(Индексы!B85&gt;=Породы!$C$5,Индексы!B85&lt;=Породы!$D$5,Индексы!C85&gt;=Породы!$E$5,Индексы!C85&lt;=Породы!$F$5,Индексы!D85&gt;=Породы!$G$5,Индексы!D85&lt;=Породы!$H$5),IF(Индексы!B85&gt;0,Породы!$B$5," ")," ")</f>
        <v xml:space="preserve"> </v>
      </c>
      <c r="D86" s="31" t="str">
        <f>IF(AND(Индексы!B85&gt;=Породы!$C$6,Индексы!B85&lt;=Породы!$D$6,Индексы!C85&gt;=Породы!$E$6,Индексы!C85&lt;=Породы!$F$6,Индексы!D85&gt;=Породы!$G$6,Индексы!D85&lt;=Породы!$H$6),IF(Индексы!B85&gt;0,Породы!$B$6," ")," ")</f>
        <v xml:space="preserve"> </v>
      </c>
      <c r="E86" s="31" t="str">
        <f>IF(AND(Индексы!B85&gt;=Породы!$C$7,Индексы!B85&lt;=Породы!$D$7,Индексы!C85&gt;=Породы!$E$7,Индексы!C85&lt;=Породы!$F$7,Индексы!D85&gt;=Породы!$G$7,Индексы!D85&lt;=Породы!$H$7),IF(Индексы!B85&gt;0,Породы!$B$7," ")," ")</f>
        <v xml:space="preserve"> </v>
      </c>
      <c r="F86" s="78" t="str">
        <f>IF(A86&gt;0,Индексы!B85,"")</f>
        <v/>
      </c>
    </row>
    <row r="87" spans="1:6" x14ac:dyDescent="0.25">
      <c r="A87" s="33">
        <f>Индексы!A86</f>
        <v>0</v>
      </c>
      <c r="B87" s="31" t="str">
        <f>IF(AND(Индексы!B86&gt;=Породы!$C$4,Индексы!B86&lt;=Породы!$D$4,Индексы!C86&gt;=Породы!$E$4,Индексы!C86&lt;=Породы!$F$4,Индексы!D86&gt;=Породы!$G$4,Индексы!D86&lt;=Породы!$H$4),IF(Индексы!B86&gt;0,Породы!$B$4," ")," ")</f>
        <v xml:space="preserve"> </v>
      </c>
      <c r="C87" s="31" t="str">
        <f>IF(AND(Индексы!B86&gt;=Породы!$C$5,Индексы!B86&lt;=Породы!$D$5,Индексы!C86&gt;=Породы!$E$5,Индексы!C86&lt;=Породы!$F$5,Индексы!D86&gt;=Породы!$G$5,Индексы!D86&lt;=Породы!$H$5),IF(Индексы!B86&gt;0,Породы!$B$5," ")," ")</f>
        <v xml:space="preserve"> </v>
      </c>
      <c r="D87" s="31" t="str">
        <f>IF(AND(Индексы!B86&gt;=Породы!$C$6,Индексы!B86&lt;=Породы!$D$6,Индексы!C86&gt;=Породы!$E$6,Индексы!C86&lt;=Породы!$F$6,Индексы!D86&gt;=Породы!$G$6,Индексы!D86&lt;=Породы!$H$6),IF(Индексы!B86&gt;0,Породы!$B$6," ")," ")</f>
        <v xml:space="preserve"> </v>
      </c>
      <c r="E87" s="31" t="str">
        <f>IF(AND(Индексы!B86&gt;=Породы!$C$7,Индексы!B86&lt;=Породы!$D$7,Индексы!C86&gt;=Породы!$E$7,Индексы!C86&lt;=Породы!$F$7,Индексы!D86&gt;=Породы!$G$7,Индексы!D86&lt;=Породы!$H$7),IF(Индексы!B86&gt;0,Породы!$B$7," ")," ")</f>
        <v xml:space="preserve"> </v>
      </c>
      <c r="F87" s="78" t="str">
        <f>IF(A87&gt;0,Индексы!B86,"")</f>
        <v/>
      </c>
    </row>
    <row r="88" spans="1:6" x14ac:dyDescent="0.25">
      <c r="A88" s="33">
        <f>Индексы!A87</f>
        <v>0</v>
      </c>
      <c r="B88" s="31" t="str">
        <f>IF(AND(Индексы!B87&gt;=Породы!$C$4,Индексы!B87&lt;=Породы!$D$4,Индексы!C87&gt;=Породы!$E$4,Индексы!C87&lt;=Породы!$F$4,Индексы!D87&gt;=Породы!$G$4,Индексы!D87&lt;=Породы!$H$4),IF(Индексы!B87&gt;0,Породы!$B$4," ")," ")</f>
        <v xml:space="preserve"> </v>
      </c>
      <c r="C88" s="31" t="str">
        <f>IF(AND(Индексы!B87&gt;=Породы!$C$5,Индексы!B87&lt;=Породы!$D$5,Индексы!C87&gt;=Породы!$E$5,Индексы!C87&lt;=Породы!$F$5,Индексы!D87&gt;=Породы!$G$5,Индексы!D87&lt;=Породы!$H$5),IF(Индексы!B87&gt;0,Породы!$B$5," ")," ")</f>
        <v xml:space="preserve"> </v>
      </c>
      <c r="D88" s="31" t="str">
        <f>IF(AND(Индексы!B87&gt;=Породы!$C$6,Индексы!B87&lt;=Породы!$D$6,Индексы!C87&gt;=Породы!$E$6,Индексы!C87&lt;=Породы!$F$6,Индексы!D87&gt;=Породы!$G$6,Индексы!D87&lt;=Породы!$H$6),IF(Индексы!B87&gt;0,Породы!$B$6," ")," ")</f>
        <v xml:space="preserve"> </v>
      </c>
      <c r="E88" s="31" t="str">
        <f>IF(AND(Индексы!B87&gt;=Породы!$C$7,Индексы!B87&lt;=Породы!$D$7,Индексы!C87&gt;=Породы!$E$7,Индексы!C87&lt;=Породы!$F$7,Индексы!D87&gt;=Породы!$G$7,Индексы!D87&lt;=Породы!$H$7),IF(Индексы!B87&gt;0,Породы!$B$7," ")," ")</f>
        <v xml:space="preserve"> </v>
      </c>
      <c r="F88" s="78" t="str">
        <f>IF(A88&gt;0,Индексы!B87,"")</f>
        <v/>
      </c>
    </row>
    <row r="89" spans="1:6" x14ac:dyDescent="0.25">
      <c r="A89" s="33">
        <f>Индексы!A88</f>
        <v>0</v>
      </c>
      <c r="B89" s="31" t="str">
        <f>IF(AND(Индексы!B88&gt;=Породы!$C$4,Индексы!B88&lt;=Породы!$D$4,Индексы!C88&gt;=Породы!$E$4,Индексы!C88&lt;=Породы!$F$4,Индексы!D88&gt;=Породы!$G$4,Индексы!D88&lt;=Породы!$H$4),IF(Индексы!B88&gt;0,Породы!$B$4," ")," ")</f>
        <v xml:space="preserve"> </v>
      </c>
      <c r="C89" s="31" t="str">
        <f>IF(AND(Индексы!B88&gt;=Породы!$C$5,Индексы!B88&lt;=Породы!$D$5,Индексы!C88&gt;=Породы!$E$5,Индексы!C88&lt;=Породы!$F$5,Индексы!D88&gt;=Породы!$G$5,Индексы!D88&lt;=Породы!$H$5),IF(Индексы!B88&gt;0,Породы!$B$5," ")," ")</f>
        <v xml:space="preserve"> </v>
      </c>
      <c r="D89" s="31" t="str">
        <f>IF(AND(Индексы!B88&gt;=Породы!$C$6,Индексы!B88&lt;=Породы!$D$6,Индексы!C88&gt;=Породы!$E$6,Индексы!C88&lt;=Породы!$F$6,Индексы!D88&gt;=Породы!$G$6,Индексы!D88&lt;=Породы!$H$6),IF(Индексы!B88&gt;0,Породы!$B$6," ")," ")</f>
        <v xml:space="preserve"> </v>
      </c>
      <c r="E89" s="31" t="str">
        <f>IF(AND(Индексы!B88&gt;=Породы!$C$7,Индексы!B88&lt;=Породы!$D$7,Индексы!C88&gt;=Породы!$E$7,Индексы!C88&lt;=Породы!$F$7,Индексы!D88&gt;=Породы!$G$7,Индексы!D88&lt;=Породы!$H$7),IF(Индексы!B88&gt;0,Породы!$B$7," ")," ")</f>
        <v xml:space="preserve"> </v>
      </c>
      <c r="F89" s="78" t="str">
        <f>IF(A89&gt;0,Индексы!B88,"")</f>
        <v/>
      </c>
    </row>
    <row r="90" spans="1:6" x14ac:dyDescent="0.25">
      <c r="A90" s="33">
        <f>Индексы!A89</f>
        <v>0</v>
      </c>
      <c r="B90" s="31" t="str">
        <f>IF(AND(Индексы!B89&gt;=Породы!$C$4,Индексы!B89&lt;=Породы!$D$4,Индексы!C89&gt;=Породы!$E$4,Индексы!C89&lt;=Породы!$F$4,Индексы!D89&gt;=Породы!$G$4,Индексы!D89&lt;=Породы!$H$4),IF(Индексы!B89&gt;0,Породы!$B$4," ")," ")</f>
        <v xml:space="preserve"> </v>
      </c>
      <c r="C90" s="31" t="str">
        <f>IF(AND(Индексы!B89&gt;=Породы!$C$5,Индексы!B89&lt;=Породы!$D$5,Индексы!C89&gt;=Породы!$E$5,Индексы!C89&lt;=Породы!$F$5,Индексы!D89&gt;=Породы!$G$5,Индексы!D89&lt;=Породы!$H$5),IF(Индексы!B89&gt;0,Породы!$B$5," ")," ")</f>
        <v xml:space="preserve"> </v>
      </c>
      <c r="D90" s="31" t="str">
        <f>IF(AND(Индексы!B89&gt;=Породы!$C$6,Индексы!B89&lt;=Породы!$D$6,Индексы!C89&gt;=Породы!$E$6,Индексы!C89&lt;=Породы!$F$6,Индексы!D89&gt;=Породы!$G$6,Индексы!D89&lt;=Породы!$H$6),IF(Индексы!B89&gt;0,Породы!$B$6," ")," ")</f>
        <v xml:space="preserve"> </v>
      </c>
      <c r="E90" s="31" t="str">
        <f>IF(AND(Индексы!B89&gt;=Породы!$C$7,Индексы!B89&lt;=Породы!$D$7,Индексы!C89&gt;=Породы!$E$7,Индексы!C89&lt;=Породы!$F$7,Индексы!D89&gt;=Породы!$G$7,Индексы!D89&lt;=Породы!$H$7),IF(Индексы!B89&gt;0,Породы!$B$7," ")," ")</f>
        <v xml:space="preserve"> </v>
      </c>
      <c r="F90" s="78" t="str">
        <f>IF(A90&gt;0,Индексы!B89,"")</f>
        <v/>
      </c>
    </row>
    <row r="91" spans="1:6" x14ac:dyDescent="0.25">
      <c r="A91" s="33">
        <f>Индексы!A90</f>
        <v>0</v>
      </c>
      <c r="B91" s="31" t="str">
        <f>IF(AND(Индексы!B90&gt;=Породы!$C$4,Индексы!B90&lt;=Породы!$D$4,Индексы!C90&gt;=Породы!$E$4,Индексы!C90&lt;=Породы!$F$4,Индексы!D90&gt;=Породы!$G$4,Индексы!D90&lt;=Породы!$H$4),IF(Индексы!B90&gt;0,Породы!$B$4," ")," ")</f>
        <v xml:space="preserve"> </v>
      </c>
      <c r="C91" s="31" t="str">
        <f>IF(AND(Индексы!B90&gt;=Породы!$C$5,Индексы!B90&lt;=Породы!$D$5,Индексы!C90&gt;=Породы!$E$5,Индексы!C90&lt;=Породы!$F$5,Индексы!D90&gt;=Породы!$G$5,Индексы!D90&lt;=Породы!$H$5),IF(Индексы!B90&gt;0,Породы!$B$5," ")," ")</f>
        <v xml:space="preserve"> </v>
      </c>
      <c r="D91" s="31" t="str">
        <f>IF(AND(Индексы!B90&gt;=Породы!$C$6,Индексы!B90&lt;=Породы!$D$6,Индексы!C90&gt;=Породы!$E$6,Индексы!C90&lt;=Породы!$F$6,Индексы!D90&gt;=Породы!$G$6,Индексы!D90&lt;=Породы!$H$6),IF(Индексы!B90&gt;0,Породы!$B$6," ")," ")</f>
        <v xml:space="preserve"> </v>
      </c>
      <c r="E91" s="31" t="str">
        <f>IF(AND(Индексы!B90&gt;=Породы!$C$7,Индексы!B90&lt;=Породы!$D$7,Индексы!C90&gt;=Породы!$E$7,Индексы!C90&lt;=Породы!$F$7,Индексы!D90&gt;=Породы!$G$7,Индексы!D90&lt;=Породы!$H$7),IF(Индексы!B90&gt;0,Породы!$B$7," ")," ")</f>
        <v xml:space="preserve"> </v>
      </c>
      <c r="F91" s="78" t="str">
        <f>IF(A91&gt;0,Индексы!B90,"")</f>
        <v/>
      </c>
    </row>
    <row r="92" spans="1:6" x14ac:dyDescent="0.25">
      <c r="A92" s="33">
        <f>Индексы!A91</f>
        <v>0</v>
      </c>
      <c r="B92" s="31" t="str">
        <f>IF(AND(Индексы!B91&gt;=Породы!$C$4,Индексы!B91&lt;=Породы!$D$4,Индексы!C91&gt;=Породы!$E$4,Индексы!C91&lt;=Породы!$F$4,Индексы!D91&gt;=Породы!$G$4,Индексы!D91&lt;=Породы!$H$4),IF(Индексы!B91&gt;0,Породы!$B$4," ")," ")</f>
        <v xml:space="preserve"> </v>
      </c>
      <c r="C92" s="31" t="str">
        <f>IF(AND(Индексы!B91&gt;=Породы!$C$5,Индексы!B91&lt;=Породы!$D$5,Индексы!C91&gt;=Породы!$E$5,Индексы!C91&lt;=Породы!$F$5,Индексы!D91&gt;=Породы!$G$5,Индексы!D91&lt;=Породы!$H$5),IF(Индексы!B91&gt;0,Породы!$B$5," ")," ")</f>
        <v xml:space="preserve"> </v>
      </c>
      <c r="D92" s="31" t="str">
        <f>IF(AND(Индексы!B91&gt;=Породы!$C$6,Индексы!B91&lt;=Породы!$D$6,Индексы!C91&gt;=Породы!$E$6,Индексы!C91&lt;=Породы!$F$6,Индексы!D91&gt;=Породы!$G$6,Индексы!D91&lt;=Породы!$H$6),IF(Индексы!B91&gt;0,Породы!$B$6," ")," ")</f>
        <v xml:space="preserve"> </v>
      </c>
      <c r="E92" s="31" t="str">
        <f>IF(AND(Индексы!B91&gt;=Породы!$C$7,Индексы!B91&lt;=Породы!$D$7,Индексы!C91&gt;=Породы!$E$7,Индексы!C91&lt;=Породы!$F$7,Индексы!D91&gt;=Породы!$G$7,Индексы!D91&lt;=Породы!$H$7),IF(Индексы!B91&gt;0,Породы!$B$7," ")," ")</f>
        <v xml:space="preserve"> </v>
      </c>
      <c r="F92" s="78" t="str">
        <f>IF(A92&gt;0,Индексы!B91,"")</f>
        <v/>
      </c>
    </row>
    <row r="93" spans="1:6" x14ac:dyDescent="0.25">
      <c r="A93" s="33">
        <f>Индексы!A92</f>
        <v>0</v>
      </c>
      <c r="B93" s="31" t="str">
        <f>IF(AND(Индексы!B92&gt;=Породы!$C$4,Индексы!B92&lt;=Породы!$D$4,Индексы!C92&gt;=Породы!$E$4,Индексы!C92&lt;=Породы!$F$4,Индексы!D92&gt;=Породы!$G$4,Индексы!D92&lt;=Породы!$H$4),IF(Индексы!B92&gt;0,Породы!$B$4," ")," ")</f>
        <v xml:space="preserve"> </v>
      </c>
      <c r="C93" s="31" t="str">
        <f>IF(AND(Индексы!B92&gt;=Породы!$C$5,Индексы!B92&lt;=Породы!$D$5,Индексы!C92&gt;=Породы!$E$5,Индексы!C92&lt;=Породы!$F$5,Индексы!D92&gt;=Породы!$G$5,Индексы!D92&lt;=Породы!$H$5),IF(Индексы!B92&gt;0,Породы!$B$5," ")," ")</f>
        <v xml:space="preserve"> </v>
      </c>
      <c r="D93" s="31" t="str">
        <f>IF(AND(Индексы!B92&gt;=Породы!$C$6,Индексы!B92&lt;=Породы!$D$6,Индексы!C92&gt;=Породы!$E$6,Индексы!C92&lt;=Породы!$F$6,Индексы!D92&gt;=Породы!$G$6,Индексы!D92&lt;=Породы!$H$6),IF(Индексы!B92&gt;0,Породы!$B$6," ")," ")</f>
        <v xml:space="preserve"> </v>
      </c>
      <c r="E93" s="31" t="str">
        <f>IF(AND(Индексы!B92&gt;=Породы!$C$7,Индексы!B92&lt;=Породы!$D$7,Индексы!C92&gt;=Породы!$E$7,Индексы!C92&lt;=Породы!$F$7,Индексы!D92&gt;=Породы!$G$7,Индексы!D92&lt;=Породы!$H$7),IF(Индексы!B92&gt;0,Породы!$B$7," ")," ")</f>
        <v xml:space="preserve"> </v>
      </c>
      <c r="F93" s="78" t="str">
        <f>IF(A93&gt;0,Индексы!B92,"")</f>
        <v/>
      </c>
    </row>
    <row r="94" spans="1:6" x14ac:dyDescent="0.25">
      <c r="A94" s="33">
        <f>Индексы!A93</f>
        <v>0</v>
      </c>
      <c r="B94" s="31" t="str">
        <f>IF(AND(Индексы!B93&gt;=Породы!$C$4,Индексы!B93&lt;=Породы!$D$4,Индексы!C93&gt;=Породы!$E$4,Индексы!C93&lt;=Породы!$F$4,Индексы!D93&gt;=Породы!$G$4,Индексы!D93&lt;=Породы!$H$4),IF(Индексы!B93&gt;0,Породы!$B$4," ")," ")</f>
        <v xml:space="preserve"> </v>
      </c>
      <c r="C94" s="31" t="str">
        <f>IF(AND(Индексы!B93&gt;=Породы!$C$5,Индексы!B93&lt;=Породы!$D$5,Индексы!C93&gt;=Породы!$E$5,Индексы!C93&lt;=Породы!$F$5,Индексы!D93&gt;=Породы!$G$5,Индексы!D93&lt;=Породы!$H$5),IF(Индексы!B93&gt;0,Породы!$B$5," ")," ")</f>
        <v xml:space="preserve"> </v>
      </c>
      <c r="D94" s="31" t="str">
        <f>IF(AND(Индексы!B93&gt;=Породы!$C$6,Индексы!B93&lt;=Породы!$D$6,Индексы!C93&gt;=Породы!$E$6,Индексы!C93&lt;=Породы!$F$6,Индексы!D93&gt;=Породы!$G$6,Индексы!D93&lt;=Породы!$H$6),IF(Индексы!B93&gt;0,Породы!$B$6," ")," ")</f>
        <v xml:space="preserve"> </v>
      </c>
      <c r="E94" s="31" t="str">
        <f>IF(AND(Индексы!B93&gt;=Породы!$C$7,Индексы!B93&lt;=Породы!$D$7,Индексы!C93&gt;=Породы!$E$7,Индексы!C93&lt;=Породы!$F$7,Индексы!D93&gt;=Породы!$G$7,Индексы!D93&lt;=Породы!$H$7),IF(Индексы!B93&gt;0,Породы!$B$7," ")," ")</f>
        <v xml:space="preserve"> </v>
      </c>
      <c r="F94" s="78" t="str">
        <f>IF(A94&gt;0,Индексы!B93,"")</f>
        <v/>
      </c>
    </row>
    <row r="95" spans="1:6" x14ac:dyDescent="0.25">
      <c r="A95" s="33">
        <f>Индексы!A94</f>
        <v>0</v>
      </c>
      <c r="B95" s="31" t="str">
        <f>IF(AND(Индексы!B94&gt;=Породы!$C$4,Индексы!B94&lt;=Породы!$D$4,Индексы!C94&gt;=Породы!$E$4,Индексы!C94&lt;=Породы!$F$4,Индексы!D94&gt;=Породы!$G$4,Индексы!D94&lt;=Породы!$H$4),IF(Индексы!B94&gt;0,Породы!$B$4," ")," ")</f>
        <v xml:space="preserve"> </v>
      </c>
      <c r="C95" s="31" t="str">
        <f>IF(AND(Индексы!B94&gt;=Породы!$C$5,Индексы!B94&lt;=Породы!$D$5,Индексы!C94&gt;=Породы!$E$5,Индексы!C94&lt;=Породы!$F$5,Индексы!D94&gt;=Породы!$G$5,Индексы!D94&lt;=Породы!$H$5),IF(Индексы!B94&gt;0,Породы!$B$5," ")," ")</f>
        <v xml:space="preserve"> </v>
      </c>
      <c r="D95" s="31" t="str">
        <f>IF(AND(Индексы!B94&gt;=Породы!$C$6,Индексы!B94&lt;=Породы!$D$6,Индексы!C94&gt;=Породы!$E$6,Индексы!C94&lt;=Породы!$F$6,Индексы!D94&gt;=Породы!$G$6,Индексы!D94&lt;=Породы!$H$6),IF(Индексы!B94&gt;0,Породы!$B$6," ")," ")</f>
        <v xml:space="preserve"> </v>
      </c>
      <c r="E95" s="31" t="str">
        <f>IF(AND(Индексы!B94&gt;=Породы!$C$7,Индексы!B94&lt;=Породы!$D$7,Индексы!C94&gt;=Породы!$E$7,Индексы!C94&lt;=Породы!$F$7,Индексы!D94&gt;=Породы!$G$7,Индексы!D94&lt;=Породы!$H$7),IF(Индексы!B94&gt;0,Породы!$B$7," ")," ")</f>
        <v xml:space="preserve"> </v>
      </c>
      <c r="F95" s="78" t="str">
        <f>IF(A95&gt;0,Индексы!B94,"")</f>
        <v/>
      </c>
    </row>
    <row r="96" spans="1:6" x14ac:dyDescent="0.25">
      <c r="A96" s="33">
        <f>Индексы!A95</f>
        <v>0</v>
      </c>
      <c r="B96" s="31" t="str">
        <f>IF(AND(Индексы!B95&gt;=Породы!$C$4,Индексы!B95&lt;=Породы!$D$4,Индексы!C95&gt;=Породы!$E$4,Индексы!C95&lt;=Породы!$F$4,Индексы!D95&gt;=Породы!$G$4,Индексы!D95&lt;=Породы!$H$4),IF(Индексы!B95&gt;0,Породы!$B$4," ")," ")</f>
        <v xml:space="preserve"> </v>
      </c>
      <c r="C96" s="31" t="str">
        <f>IF(AND(Индексы!B95&gt;=Породы!$C$5,Индексы!B95&lt;=Породы!$D$5,Индексы!C95&gt;=Породы!$E$5,Индексы!C95&lt;=Породы!$F$5,Индексы!D95&gt;=Породы!$G$5,Индексы!D95&lt;=Породы!$H$5),IF(Индексы!B95&gt;0,Породы!$B$5," ")," ")</f>
        <v xml:space="preserve"> </v>
      </c>
      <c r="D96" s="31" t="str">
        <f>IF(AND(Индексы!B95&gt;=Породы!$C$6,Индексы!B95&lt;=Породы!$D$6,Индексы!C95&gt;=Породы!$E$6,Индексы!C95&lt;=Породы!$F$6,Индексы!D95&gt;=Породы!$G$6,Индексы!D95&lt;=Породы!$H$6),IF(Индексы!B95&gt;0,Породы!$B$6," ")," ")</f>
        <v xml:space="preserve"> </v>
      </c>
      <c r="E96" s="31" t="str">
        <f>IF(AND(Индексы!B95&gt;=Породы!$C$7,Индексы!B95&lt;=Породы!$D$7,Индексы!C95&gt;=Породы!$E$7,Индексы!C95&lt;=Породы!$F$7,Индексы!D95&gt;=Породы!$G$7,Индексы!D95&lt;=Породы!$H$7),IF(Индексы!B95&gt;0,Породы!$B$7," ")," ")</f>
        <v xml:space="preserve"> </v>
      </c>
      <c r="F96" s="78" t="str">
        <f>IF(A96&gt;0,Индексы!B95,"")</f>
        <v/>
      </c>
    </row>
    <row r="97" spans="1:6" x14ac:dyDescent="0.25">
      <c r="A97" s="33">
        <f>Индексы!A96</f>
        <v>0</v>
      </c>
      <c r="B97" s="31" t="str">
        <f>IF(AND(Индексы!B96&gt;=Породы!$C$4,Индексы!B96&lt;=Породы!$D$4,Индексы!C96&gt;=Породы!$E$4,Индексы!C96&lt;=Породы!$F$4,Индексы!D96&gt;=Породы!$G$4,Индексы!D96&lt;=Породы!$H$4),IF(Индексы!B96&gt;0,Породы!$B$4," ")," ")</f>
        <v xml:space="preserve"> </v>
      </c>
      <c r="C97" s="31" t="str">
        <f>IF(AND(Индексы!B96&gt;=Породы!$C$5,Индексы!B96&lt;=Породы!$D$5,Индексы!C96&gt;=Породы!$E$5,Индексы!C96&lt;=Породы!$F$5,Индексы!D96&gt;=Породы!$G$5,Индексы!D96&lt;=Породы!$H$5),IF(Индексы!B96&gt;0,Породы!$B$5," ")," ")</f>
        <v xml:space="preserve"> </v>
      </c>
      <c r="D97" s="31" t="str">
        <f>IF(AND(Индексы!B96&gt;=Породы!$C$6,Индексы!B96&lt;=Породы!$D$6,Индексы!C96&gt;=Породы!$E$6,Индексы!C96&lt;=Породы!$F$6,Индексы!D96&gt;=Породы!$G$6,Индексы!D96&lt;=Породы!$H$6),IF(Индексы!B96&gt;0,Породы!$B$6," ")," ")</f>
        <v xml:space="preserve"> </v>
      </c>
      <c r="E97" s="31" t="str">
        <f>IF(AND(Индексы!B96&gt;=Породы!$C$7,Индексы!B96&lt;=Породы!$D$7,Индексы!C96&gt;=Породы!$E$7,Индексы!C96&lt;=Породы!$F$7,Индексы!D96&gt;=Породы!$G$7,Индексы!D96&lt;=Породы!$H$7),IF(Индексы!B96&gt;0,Породы!$B$7," ")," ")</f>
        <v xml:space="preserve"> </v>
      </c>
      <c r="F97" s="78" t="str">
        <f>IF(A97&gt;0,Индексы!B96,"")</f>
        <v/>
      </c>
    </row>
    <row r="98" spans="1:6" x14ac:dyDescent="0.25">
      <c r="A98" s="33">
        <f>Индексы!A97</f>
        <v>0</v>
      </c>
      <c r="B98" s="31" t="str">
        <f>IF(AND(Индексы!B97&gt;=Породы!$C$4,Индексы!B97&lt;=Породы!$D$4,Индексы!C97&gt;=Породы!$E$4,Индексы!C97&lt;=Породы!$F$4,Индексы!D97&gt;=Породы!$G$4,Индексы!D97&lt;=Породы!$H$4),IF(Индексы!B97&gt;0,Породы!$B$4," ")," ")</f>
        <v xml:space="preserve"> </v>
      </c>
      <c r="C98" s="31" t="str">
        <f>IF(AND(Индексы!B97&gt;=Породы!$C$5,Индексы!B97&lt;=Породы!$D$5,Индексы!C97&gt;=Породы!$E$5,Индексы!C97&lt;=Породы!$F$5,Индексы!D97&gt;=Породы!$G$5,Индексы!D97&lt;=Породы!$H$5),IF(Индексы!B97&gt;0,Породы!$B$5," ")," ")</f>
        <v xml:space="preserve"> </v>
      </c>
      <c r="D98" s="31" t="str">
        <f>IF(AND(Индексы!B97&gt;=Породы!$C$6,Индексы!B97&lt;=Породы!$D$6,Индексы!C97&gt;=Породы!$E$6,Индексы!C97&lt;=Породы!$F$6,Индексы!D97&gt;=Породы!$G$6,Индексы!D97&lt;=Породы!$H$6),IF(Индексы!B97&gt;0,Породы!$B$6," ")," ")</f>
        <v xml:space="preserve"> </v>
      </c>
      <c r="E98" s="31" t="str">
        <f>IF(AND(Индексы!B97&gt;=Породы!$C$7,Индексы!B97&lt;=Породы!$D$7,Индексы!C97&gt;=Породы!$E$7,Индексы!C97&lt;=Породы!$F$7,Индексы!D97&gt;=Породы!$G$7,Индексы!D97&lt;=Породы!$H$7),IF(Индексы!B97&gt;0,Породы!$B$7," ")," ")</f>
        <v xml:space="preserve"> </v>
      </c>
      <c r="F98" s="78" t="str">
        <f>IF(A98&gt;0,Индексы!B97,"")</f>
        <v/>
      </c>
    </row>
    <row r="99" spans="1:6" x14ac:dyDescent="0.25">
      <c r="A99" s="33">
        <f>Индексы!A98</f>
        <v>0</v>
      </c>
      <c r="B99" s="31" t="str">
        <f>IF(AND(Индексы!B98&gt;=Породы!$C$4,Индексы!B98&lt;=Породы!$D$4,Индексы!C98&gt;=Породы!$E$4,Индексы!C98&lt;=Породы!$F$4,Индексы!D98&gt;=Породы!$G$4,Индексы!D98&lt;=Породы!$H$4),IF(Индексы!B98&gt;0,Породы!$B$4," ")," ")</f>
        <v xml:space="preserve"> </v>
      </c>
      <c r="C99" s="31" t="str">
        <f>IF(AND(Индексы!B98&gt;=Породы!$C$5,Индексы!B98&lt;=Породы!$D$5,Индексы!C98&gt;=Породы!$E$5,Индексы!C98&lt;=Породы!$F$5,Индексы!D98&gt;=Породы!$G$5,Индексы!D98&lt;=Породы!$H$5),IF(Индексы!B98&gt;0,Породы!$B$5," ")," ")</f>
        <v xml:space="preserve"> </v>
      </c>
      <c r="D99" s="31" t="str">
        <f>IF(AND(Индексы!B98&gt;=Породы!$C$6,Индексы!B98&lt;=Породы!$D$6,Индексы!C98&gt;=Породы!$E$6,Индексы!C98&lt;=Породы!$F$6,Индексы!D98&gt;=Породы!$G$6,Индексы!D98&lt;=Породы!$H$6),IF(Индексы!B98&gt;0,Породы!$B$6," ")," ")</f>
        <v xml:space="preserve"> </v>
      </c>
      <c r="E99" s="31" t="str">
        <f>IF(AND(Индексы!B98&gt;=Породы!$C$7,Индексы!B98&lt;=Породы!$D$7,Индексы!C98&gt;=Породы!$E$7,Индексы!C98&lt;=Породы!$F$7,Индексы!D98&gt;=Породы!$G$7,Индексы!D98&lt;=Породы!$H$7),IF(Индексы!B98&gt;0,Породы!$B$7," ")," ")</f>
        <v xml:space="preserve"> </v>
      </c>
      <c r="F99" s="78" t="str">
        <f>IF(A99&gt;0,Индексы!B98,"")</f>
        <v/>
      </c>
    </row>
    <row r="100" spans="1:6" x14ac:dyDescent="0.25">
      <c r="A100" s="33">
        <f>Индексы!A99</f>
        <v>0</v>
      </c>
      <c r="B100" s="31" t="str">
        <f>IF(AND(Индексы!B99&gt;=Породы!$C$4,Индексы!B99&lt;=Породы!$D$4,Индексы!C99&gt;=Породы!$E$4,Индексы!C99&lt;=Породы!$F$4,Индексы!D99&gt;=Породы!$G$4,Индексы!D99&lt;=Породы!$H$4),IF(Индексы!B99&gt;0,Породы!$B$4," ")," ")</f>
        <v xml:space="preserve"> </v>
      </c>
      <c r="C100" s="31" t="str">
        <f>IF(AND(Индексы!B99&gt;=Породы!$C$5,Индексы!B99&lt;=Породы!$D$5,Индексы!C99&gt;=Породы!$E$5,Индексы!C99&lt;=Породы!$F$5,Индексы!D99&gt;=Породы!$G$5,Индексы!D99&lt;=Породы!$H$5),IF(Индексы!B99&gt;0,Породы!$B$5," ")," ")</f>
        <v xml:space="preserve"> </v>
      </c>
      <c r="D100" s="31" t="str">
        <f>IF(AND(Индексы!B99&gt;=Породы!$C$6,Индексы!B99&lt;=Породы!$D$6,Индексы!C99&gt;=Породы!$E$6,Индексы!C99&lt;=Породы!$F$6,Индексы!D99&gt;=Породы!$G$6,Индексы!D99&lt;=Породы!$H$6),IF(Индексы!B99&gt;0,Породы!$B$6," ")," ")</f>
        <v xml:space="preserve"> </v>
      </c>
      <c r="E100" s="31" t="str">
        <f>IF(AND(Индексы!B99&gt;=Породы!$C$7,Индексы!B99&lt;=Породы!$D$7,Индексы!C99&gt;=Породы!$E$7,Индексы!C99&lt;=Породы!$F$7,Индексы!D99&gt;=Породы!$G$7,Индексы!D99&lt;=Породы!$H$7),IF(Индексы!B99&gt;0,Породы!$B$7," ")," ")</f>
        <v xml:space="preserve"> </v>
      </c>
      <c r="F100" s="78" t="str">
        <f>IF(A100&gt;0,Индексы!B99,"")</f>
        <v/>
      </c>
    </row>
    <row r="101" spans="1:6" x14ac:dyDescent="0.25">
      <c r="A101" s="33">
        <f>Индексы!A100</f>
        <v>0</v>
      </c>
      <c r="B101" s="31" t="str">
        <f>IF(AND(Индексы!B100&gt;=Породы!$C$4,Индексы!B100&lt;=Породы!$D$4,Индексы!C100&gt;=Породы!$E$4,Индексы!C100&lt;=Породы!$F$4,Индексы!D100&gt;=Породы!$G$4,Индексы!D100&lt;=Породы!$H$4),IF(Индексы!B100&gt;0,Породы!$B$4," ")," ")</f>
        <v xml:space="preserve"> </v>
      </c>
      <c r="C101" s="31" t="str">
        <f>IF(AND(Индексы!B100&gt;=Породы!$C$5,Индексы!B100&lt;=Породы!$D$5,Индексы!C100&gt;=Породы!$E$5,Индексы!C100&lt;=Породы!$F$5,Индексы!D100&gt;=Породы!$G$5,Индексы!D100&lt;=Породы!$H$5),IF(Индексы!B100&gt;0,Породы!$B$5," ")," ")</f>
        <v xml:space="preserve"> </v>
      </c>
      <c r="D101" s="31" t="str">
        <f>IF(AND(Индексы!B100&gt;=Породы!$C$6,Индексы!B100&lt;=Породы!$D$6,Индексы!C100&gt;=Породы!$E$6,Индексы!C100&lt;=Породы!$F$6,Индексы!D100&gt;=Породы!$G$6,Индексы!D100&lt;=Породы!$H$6),IF(Индексы!B100&gt;0,Породы!$B$6," ")," ")</f>
        <v xml:space="preserve"> </v>
      </c>
      <c r="E101" s="31" t="str">
        <f>IF(AND(Индексы!B100&gt;=Породы!$C$7,Индексы!B100&lt;=Породы!$D$7,Индексы!C100&gt;=Породы!$E$7,Индексы!C100&lt;=Породы!$F$7,Индексы!D100&gt;=Породы!$G$7,Индексы!D100&lt;=Породы!$H$7),IF(Индексы!B100&gt;0,Породы!$B$7," ")," ")</f>
        <v xml:space="preserve"> </v>
      </c>
      <c r="F101" s="78" t="str">
        <f>IF(A101&gt;0,Индексы!B100,"")</f>
        <v/>
      </c>
    </row>
    <row r="102" spans="1:6" x14ac:dyDescent="0.25">
      <c r="A102" s="33">
        <f>Индексы!A101</f>
        <v>0</v>
      </c>
      <c r="B102" s="31" t="str">
        <f>IF(AND(Индексы!B101&gt;=Породы!$C$4,Индексы!B101&lt;=Породы!$D$4,Индексы!C101&gt;=Породы!$E$4,Индексы!C101&lt;=Породы!$F$4,Индексы!D101&gt;=Породы!$G$4,Индексы!D101&lt;=Породы!$H$4),IF(Индексы!B101&gt;0,Породы!$B$4," ")," ")</f>
        <v xml:space="preserve"> </v>
      </c>
      <c r="C102" s="31" t="str">
        <f>IF(AND(Индексы!B101&gt;=Породы!$C$5,Индексы!B101&lt;=Породы!$D$5,Индексы!C101&gt;=Породы!$E$5,Индексы!C101&lt;=Породы!$F$5,Индексы!D101&gt;=Породы!$G$5,Индексы!D101&lt;=Породы!$H$5),IF(Индексы!B101&gt;0,Породы!$B$5," ")," ")</f>
        <v xml:space="preserve"> </v>
      </c>
      <c r="D102" s="31" t="str">
        <f>IF(AND(Индексы!B101&gt;=Породы!$C$6,Индексы!B101&lt;=Породы!$D$6,Индексы!C101&gt;=Породы!$E$6,Индексы!C101&lt;=Породы!$F$6,Индексы!D101&gt;=Породы!$G$6,Индексы!D101&lt;=Породы!$H$6),IF(Индексы!B101&gt;0,Породы!$B$6," ")," ")</f>
        <v xml:space="preserve"> </v>
      </c>
      <c r="E102" s="31" t="str">
        <f>IF(AND(Индексы!B101&gt;=Породы!$C$7,Индексы!B101&lt;=Породы!$D$7,Индексы!C101&gt;=Породы!$E$7,Индексы!C101&lt;=Породы!$F$7,Индексы!D101&gt;=Породы!$G$7,Индексы!D101&lt;=Породы!$H$7),IF(Индексы!B101&gt;0,Породы!$B$7," ")," ")</f>
        <v xml:space="preserve"> </v>
      </c>
      <c r="F102" s="78" t="str">
        <f>IF(A102&gt;0,Индексы!B101,"")</f>
        <v/>
      </c>
    </row>
    <row r="103" spans="1:6" x14ac:dyDescent="0.25">
      <c r="A103" s="34" t="s">
        <v>17</v>
      </c>
      <c r="B103" s="31" t="str">
        <f>IF(AND(Индексы!B102&gt;=Породы!$C$4,Индексы!B102&lt;=Породы!$D$4,Индексы!C102&gt;=Породы!$E$4,Индексы!C102&lt;=Породы!$F$4,Индексы!D102&gt;=Породы!$G$4,Индексы!D102&lt;=Породы!$H$4),IF(Индексы!B102&gt;0,Породы!$B$4," ")," ")</f>
        <v>Mellifera</v>
      </c>
      <c r="C103" s="32" t="str">
        <f>IF(AND(Индексы!B102&gt;=Породы!$C$5,Индексы!B102&lt;=Породы!$D$5,Индексы!C102&gt;=Породы!$E$5,Индексы!C102&lt;=Породы!$F$5,Индексы!D102&gt;=Породы!$G$5,Индексы!D102&lt;=Породы!$H$5),IF(Индексы!B102&gt;0,Породы!$B$5," ")," ")</f>
        <v xml:space="preserve"> </v>
      </c>
      <c r="D103" s="32" t="str">
        <f>IF(AND(Индексы!B102&gt;=Породы!$C$6,Индексы!B102&lt;=Породы!$D$6,Индексы!C102&gt;=Породы!$E$6,Индексы!C102&lt;=Породы!$F$6,Индексы!D102&gt;=Породы!$G$6,Индексы!D102&lt;=Породы!$H$6),IF(Индексы!B102&gt;0,Породы!$B$6," ")," ")</f>
        <v xml:space="preserve"> </v>
      </c>
      <c r="E103" s="32" t="str">
        <f>IF(AND(Индексы!B102&gt;=Породы!$C$7,Индексы!B102&lt;=Породы!$D$7,Индексы!C102&gt;=Породы!$E$7,Индексы!C102&lt;=Породы!$F$7,Индексы!D102&gt;=Породы!$G$7,Индексы!D102&lt;=Породы!$H$7),IF(Индексы!B102&gt;0,Породы!$B$7," ")," ")</f>
        <v xml:space="preserve"> </v>
      </c>
      <c r="F103" s="78">
        <f>Индексы!B102</f>
        <v>1.4332108255471205</v>
      </c>
    </row>
  </sheetData>
  <sheetProtection password="C1AF" sheet="1" objects="1" scenarios="1" selectLockedCells="1" selectUnlockedCells="1"/>
  <mergeCells count="10">
    <mergeCell ref="A1:A2"/>
    <mergeCell ref="B1:E1"/>
    <mergeCell ref="J19:K19"/>
    <mergeCell ref="F1:F2"/>
    <mergeCell ref="H28:K29"/>
    <mergeCell ref="H19:H22"/>
    <mergeCell ref="I19:I22"/>
    <mergeCell ref="J20:J22"/>
    <mergeCell ref="K20:K22"/>
    <mergeCell ref="G1:K17"/>
  </mergeCells>
  <phoneticPr fontId="0" type="noConversion"/>
  <conditionalFormatting sqref="I23:J23">
    <cfRule type="cellIs" dxfId="16" priority="1" stopIfTrue="1" operator="equal">
      <formula>0</formula>
    </cfRule>
  </conditionalFormatting>
  <conditionalFormatting sqref="I24:J24">
    <cfRule type="cellIs" dxfId="15" priority="2" stopIfTrue="1" operator="equal">
      <formula>0</formula>
    </cfRule>
  </conditionalFormatting>
  <conditionalFormatting sqref="I25:J25">
    <cfRule type="cellIs" dxfId="14" priority="3" stopIfTrue="1" operator="equal">
      <formula>0</formula>
    </cfRule>
  </conditionalFormatting>
  <conditionalFormatting sqref="I26:J26">
    <cfRule type="cellIs" dxfId="13" priority="4" stopIfTrue="1" operator="equal">
      <formula>0</formula>
    </cfRule>
  </conditionalFormatting>
  <conditionalFormatting sqref="A3:A102">
    <cfRule type="cellIs" dxfId="12" priority="5" stopIfTrue="1" operator="equal">
      <formula>0</formula>
    </cfRule>
  </conditionalFormatting>
  <conditionalFormatting sqref="E103">
    <cfRule type="cellIs" dxfId="11" priority="7" stopIfTrue="1" operator="equal">
      <formula>$E$2</formula>
    </cfRule>
  </conditionalFormatting>
  <conditionalFormatting sqref="D103">
    <cfRule type="cellIs" dxfId="10" priority="8" stopIfTrue="1" operator="equal">
      <formula>$D$2</formula>
    </cfRule>
  </conditionalFormatting>
  <conditionalFormatting sqref="C103">
    <cfRule type="cellIs" dxfId="9" priority="9" stopIfTrue="1" operator="equal">
      <formula>$C$2</formula>
    </cfRule>
  </conditionalFormatting>
  <conditionalFormatting sqref="B103">
    <cfRule type="cellIs" dxfId="8" priority="81" stopIfTrue="1" operator="equal">
      <formula>$H$23</formula>
    </cfRule>
  </conditionalFormatting>
  <conditionalFormatting sqref="B3:B102">
    <cfRule type="expression" dxfId="7" priority="82" stopIfTrue="1">
      <formula>AND(A3&gt;0,B3=$G$18,C3=$G$18,D3=$G$18,E3=$G$18)</formula>
    </cfRule>
    <cfRule type="cellIs" dxfId="6" priority="83" stopIfTrue="1" operator="equal">
      <formula>$H$23</formula>
    </cfRule>
  </conditionalFormatting>
  <conditionalFormatting sqref="C3:C102">
    <cfRule type="expression" dxfId="5" priority="84" stopIfTrue="1">
      <formula>AND(A3&gt;0,B3=$G$18,C3=$G$18,D3=$G$18,E3=$G$18)</formula>
    </cfRule>
    <cfRule type="cellIs" dxfId="4" priority="85" stopIfTrue="1" operator="equal">
      <formula>$H$24</formula>
    </cfRule>
  </conditionalFormatting>
  <conditionalFormatting sqref="D3:D102">
    <cfRule type="expression" dxfId="3" priority="86" stopIfTrue="1">
      <formula>AND(A3&gt;0,B3=$G$18,C3=$G$18,D3=$G$18,E3=$G$18)</formula>
    </cfRule>
    <cfRule type="cellIs" dxfId="2" priority="87" stopIfTrue="1" operator="equal">
      <formula>$H$25</formula>
    </cfRule>
  </conditionalFormatting>
  <conditionalFormatting sqref="E3:E102">
    <cfRule type="expression" dxfId="1" priority="88" stopIfTrue="1">
      <formula>AND(A3&gt;0,B3=$G$18,C3=$G$18,D3=$G$18,E3=$G$18)</formula>
    </cfRule>
    <cfRule type="cellIs" dxfId="0" priority="89" stopIfTrue="1" operator="equal">
      <formula>$H$26</formula>
    </cfRule>
  </conditionalFormatting>
  <printOptions horizontalCentered="1"/>
  <pageMargins left="0.78740157480314965" right="0.78740157480314965" top="0.39370078740157483" bottom="0.39370078740157483" header="0" footer="0"/>
  <pageSetup paperSize="9" scale="60"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indexed="9"/>
  </sheetPr>
  <dimension ref="A1:N39"/>
  <sheetViews>
    <sheetView showGridLines="0" showRowColHeaders="0" zoomScaleSheetLayoutView="90" workbookViewId="0"/>
  </sheetViews>
  <sheetFormatPr defaultRowHeight="13.2" x14ac:dyDescent="0.25"/>
  <cols>
    <col min="1" max="10" width="8.88671875" style="90"/>
  </cols>
  <sheetData>
    <row r="1" spans="1:14" x14ac:dyDescent="0.25">
      <c r="A1" s="119"/>
      <c r="B1" s="119">
        <v>0.71</v>
      </c>
      <c r="C1" s="119">
        <f t="array" ref="C1:C31">FREQUENCY(Индексы!B2:B101,Графики!B1:B30)</f>
        <v>0</v>
      </c>
      <c r="D1" s="120">
        <v>0.6</v>
      </c>
      <c r="E1" s="119">
        <f t="array" ref="E1:E33">FREQUENCY(Индексы!D2:D101,Графики!D1:D32)</f>
        <v>0</v>
      </c>
      <c r="F1" s="119"/>
      <c r="G1" s="121">
        <f>ROUND(DEGREES(ASIN(J1/1.515*0.05)),2)</f>
        <v>-16.29</v>
      </c>
      <c r="H1" s="158">
        <f t="array" ref="H1:H31">FREQUENCY(Индексы!C2:C101,Графики!G1:G31)</f>
        <v>0</v>
      </c>
      <c r="I1" s="122"/>
      <c r="J1" s="158">
        <v>-8.5</v>
      </c>
      <c r="K1" s="74"/>
      <c r="L1" s="74"/>
      <c r="M1" s="74"/>
      <c r="N1" s="74"/>
    </row>
    <row r="2" spans="1:14" x14ac:dyDescent="0.25">
      <c r="A2" s="119">
        <v>1</v>
      </c>
      <c r="B2" s="119">
        <v>0.76</v>
      </c>
      <c r="C2" s="119">
        <v>0</v>
      </c>
      <c r="D2" s="120">
        <v>0.61599999999999999</v>
      </c>
      <c r="E2" s="119">
        <v>0</v>
      </c>
      <c r="F2" s="122">
        <v>6</v>
      </c>
      <c r="G2" s="121">
        <f t="shared" ref="G2:G31" si="0">ROUND(DEGREES(ASIN(J2/1.515*0.05)),2)</f>
        <v>-15.31</v>
      </c>
      <c r="H2" s="158">
        <v>0</v>
      </c>
      <c r="I2" s="122">
        <v>6</v>
      </c>
      <c r="J2" s="158">
        <f>J1+0.5</f>
        <v>-8</v>
      </c>
      <c r="K2" s="74"/>
      <c r="L2" s="74"/>
      <c r="M2" s="74"/>
      <c r="N2" s="74"/>
    </row>
    <row r="3" spans="1:14" x14ac:dyDescent="0.25">
      <c r="A3" s="119">
        <f>A2+1</f>
        <v>2</v>
      </c>
      <c r="B3" s="119">
        <v>0.81</v>
      </c>
      <c r="C3" s="119">
        <v>0</v>
      </c>
      <c r="D3" s="120">
        <v>0.63</v>
      </c>
      <c r="E3" s="119">
        <v>0</v>
      </c>
      <c r="F3" s="122" t="s">
        <v>52</v>
      </c>
      <c r="G3" s="121">
        <f t="shared" si="0"/>
        <v>-14.33</v>
      </c>
      <c r="H3" s="158">
        <v>0</v>
      </c>
      <c r="I3" s="122">
        <f>I2+1</f>
        <v>7</v>
      </c>
      <c r="J3" s="158">
        <f>J2+0.5</f>
        <v>-7.5</v>
      </c>
      <c r="K3" s="74"/>
      <c r="L3" s="74"/>
      <c r="M3" s="74"/>
      <c r="N3" s="74"/>
    </row>
    <row r="4" spans="1:14" x14ac:dyDescent="0.25">
      <c r="A4" s="119">
        <f t="shared" ref="A4:A31" si="1">A3+1</f>
        <v>3</v>
      </c>
      <c r="B4" s="119">
        <v>0.87</v>
      </c>
      <c r="C4" s="119">
        <v>0</v>
      </c>
      <c r="D4" s="120">
        <v>0.64800000000000002</v>
      </c>
      <c r="E4" s="119">
        <v>0</v>
      </c>
      <c r="F4" s="122">
        <f>F3+1</f>
        <v>8</v>
      </c>
      <c r="G4" s="121">
        <f t="shared" si="0"/>
        <v>-13.36</v>
      </c>
      <c r="H4" s="158">
        <v>0</v>
      </c>
      <c r="I4" s="122">
        <f t="shared" ref="I4:I31" si="2">I3+1</f>
        <v>8</v>
      </c>
      <c r="J4" s="158">
        <f t="shared" ref="J4:J31" si="3">J3+0.5</f>
        <v>-7</v>
      </c>
      <c r="K4" s="74"/>
      <c r="L4" s="74"/>
      <c r="M4" s="74"/>
      <c r="N4" s="74"/>
    </row>
    <row r="5" spans="1:14" x14ac:dyDescent="0.25">
      <c r="A5" s="119">
        <f t="shared" si="1"/>
        <v>4</v>
      </c>
      <c r="B5" s="119">
        <v>0.93</v>
      </c>
      <c r="C5" s="119">
        <v>0</v>
      </c>
      <c r="D5" s="120">
        <v>0.66600000000000004</v>
      </c>
      <c r="E5" s="119">
        <v>0</v>
      </c>
      <c r="F5" s="122">
        <f t="shared" ref="F5:F33" si="4">F4+1</f>
        <v>9</v>
      </c>
      <c r="G5" s="121">
        <f t="shared" si="0"/>
        <v>-12.39</v>
      </c>
      <c r="H5" s="158">
        <v>0</v>
      </c>
      <c r="I5" s="122">
        <f t="shared" si="2"/>
        <v>9</v>
      </c>
      <c r="J5" s="158">
        <f t="shared" si="3"/>
        <v>-6.5</v>
      </c>
      <c r="K5" s="74"/>
      <c r="L5" s="74"/>
      <c r="M5" s="74"/>
      <c r="N5" s="74"/>
    </row>
    <row r="6" spans="1:14" x14ac:dyDescent="0.25">
      <c r="A6" s="119">
        <f t="shared" si="1"/>
        <v>5</v>
      </c>
      <c r="B6" s="119">
        <v>1</v>
      </c>
      <c r="C6" s="119">
        <v>0</v>
      </c>
      <c r="D6" s="120">
        <v>0.68500000000000005</v>
      </c>
      <c r="E6" s="119">
        <v>0</v>
      </c>
      <c r="F6" s="122">
        <f t="shared" si="4"/>
        <v>10</v>
      </c>
      <c r="G6" s="121">
        <f t="shared" si="0"/>
        <v>-11.42</v>
      </c>
      <c r="H6" s="158">
        <v>0</v>
      </c>
      <c r="I6" s="122">
        <f t="shared" si="2"/>
        <v>10</v>
      </c>
      <c r="J6" s="158">
        <f t="shared" si="3"/>
        <v>-6</v>
      </c>
      <c r="K6" s="74"/>
      <c r="L6" s="74"/>
      <c r="M6" s="74"/>
      <c r="N6" s="74"/>
    </row>
    <row r="7" spans="1:14" x14ac:dyDescent="0.25">
      <c r="A7" s="119">
        <f t="shared" si="1"/>
        <v>6</v>
      </c>
      <c r="B7" s="119">
        <v>1.07</v>
      </c>
      <c r="C7" s="119">
        <v>0</v>
      </c>
      <c r="D7" s="120">
        <v>0.70399999999999996</v>
      </c>
      <c r="E7" s="119">
        <v>0</v>
      </c>
      <c r="F7" s="122">
        <f t="shared" si="4"/>
        <v>11</v>
      </c>
      <c r="G7" s="121">
        <f t="shared" si="0"/>
        <v>-10.46</v>
      </c>
      <c r="H7" s="158">
        <v>0</v>
      </c>
      <c r="I7" s="122">
        <f t="shared" si="2"/>
        <v>11</v>
      </c>
      <c r="J7" s="158">
        <f t="shared" si="3"/>
        <v>-5.5</v>
      </c>
      <c r="K7" s="74"/>
      <c r="L7" s="74"/>
      <c r="M7" s="74"/>
      <c r="N7" s="74"/>
    </row>
    <row r="8" spans="1:14" x14ac:dyDescent="0.25">
      <c r="A8" s="119">
        <f t="shared" si="1"/>
        <v>7</v>
      </c>
      <c r="B8" s="119">
        <v>1.1399999999999999</v>
      </c>
      <c r="C8" s="119">
        <v>1</v>
      </c>
      <c r="D8" s="120">
        <v>0.72399999999999998</v>
      </c>
      <c r="E8" s="119">
        <v>0</v>
      </c>
      <c r="F8" s="122">
        <f t="shared" si="4"/>
        <v>12</v>
      </c>
      <c r="G8" s="121">
        <f t="shared" si="0"/>
        <v>-9.5</v>
      </c>
      <c r="H8" s="158">
        <v>0</v>
      </c>
      <c r="I8" s="122">
        <f t="shared" si="2"/>
        <v>12</v>
      </c>
      <c r="J8" s="158">
        <f t="shared" si="3"/>
        <v>-5</v>
      </c>
      <c r="K8" s="74"/>
      <c r="L8" s="74"/>
      <c r="M8" s="74"/>
      <c r="N8" s="74"/>
    </row>
    <row r="9" spans="1:14" x14ac:dyDescent="0.25">
      <c r="A9" s="119">
        <f t="shared" si="1"/>
        <v>8</v>
      </c>
      <c r="B9" s="119">
        <v>1.22</v>
      </c>
      <c r="C9" s="119">
        <v>0</v>
      </c>
      <c r="D9" s="120">
        <v>0.74399999999999999</v>
      </c>
      <c r="E9" s="119">
        <v>1</v>
      </c>
      <c r="F9" s="122">
        <f t="shared" si="4"/>
        <v>13</v>
      </c>
      <c r="G9" s="121">
        <f t="shared" si="0"/>
        <v>-8.5399999999999991</v>
      </c>
      <c r="H9" s="158">
        <v>0</v>
      </c>
      <c r="I9" s="122">
        <f t="shared" si="2"/>
        <v>13</v>
      </c>
      <c r="J9" s="158">
        <f t="shared" si="3"/>
        <v>-4.5</v>
      </c>
      <c r="K9" s="74"/>
      <c r="L9" s="74"/>
      <c r="M9" s="74"/>
      <c r="N9" s="74"/>
    </row>
    <row r="10" spans="1:14" x14ac:dyDescent="0.25">
      <c r="A10" s="119">
        <f t="shared" si="1"/>
        <v>9</v>
      </c>
      <c r="B10" s="119">
        <v>1.31</v>
      </c>
      <c r="C10" s="119">
        <v>2</v>
      </c>
      <c r="D10" s="120">
        <v>0.76500000000000001</v>
      </c>
      <c r="E10" s="119">
        <v>0</v>
      </c>
      <c r="F10" s="122">
        <f t="shared" si="4"/>
        <v>14</v>
      </c>
      <c r="G10" s="121">
        <f t="shared" si="0"/>
        <v>-7.59</v>
      </c>
      <c r="H10" s="158">
        <v>0</v>
      </c>
      <c r="I10" s="122">
        <f t="shared" si="2"/>
        <v>14</v>
      </c>
      <c r="J10" s="158">
        <f t="shared" si="3"/>
        <v>-4</v>
      </c>
      <c r="K10" s="74"/>
      <c r="L10" s="74"/>
      <c r="M10" s="74"/>
      <c r="N10" s="74"/>
    </row>
    <row r="11" spans="1:14" x14ac:dyDescent="0.25">
      <c r="A11" s="119">
        <f t="shared" si="1"/>
        <v>10</v>
      </c>
      <c r="B11" s="119">
        <v>1.4</v>
      </c>
      <c r="C11" s="119">
        <v>8</v>
      </c>
      <c r="D11" s="120">
        <v>0.78600000000000003</v>
      </c>
      <c r="E11" s="119">
        <v>2</v>
      </c>
      <c r="F11" s="122">
        <f t="shared" si="4"/>
        <v>15</v>
      </c>
      <c r="G11" s="121">
        <f t="shared" si="0"/>
        <v>-6.63</v>
      </c>
      <c r="H11" s="158">
        <v>1</v>
      </c>
      <c r="I11" s="122">
        <f t="shared" si="2"/>
        <v>15</v>
      </c>
      <c r="J11" s="158">
        <f t="shared" si="3"/>
        <v>-3.5</v>
      </c>
      <c r="K11" s="74"/>
      <c r="L11" s="74"/>
      <c r="M11" s="74"/>
      <c r="N11" s="74"/>
    </row>
    <row r="12" spans="1:14" x14ac:dyDescent="0.25">
      <c r="A12" s="119">
        <f t="shared" si="1"/>
        <v>11</v>
      </c>
      <c r="B12" s="119">
        <v>1.5</v>
      </c>
      <c r="C12" s="119">
        <v>12</v>
      </c>
      <c r="D12" s="120">
        <v>0.80700000000000005</v>
      </c>
      <c r="E12" s="119">
        <v>4</v>
      </c>
      <c r="F12" s="122">
        <f t="shared" si="4"/>
        <v>16</v>
      </c>
      <c r="G12" s="121">
        <f t="shared" si="0"/>
        <v>-5.68</v>
      </c>
      <c r="H12" s="158">
        <v>2</v>
      </c>
      <c r="I12" s="122">
        <f t="shared" si="2"/>
        <v>16</v>
      </c>
      <c r="J12" s="158">
        <f t="shared" si="3"/>
        <v>-3</v>
      </c>
      <c r="K12" s="74"/>
      <c r="L12" s="74"/>
      <c r="M12" s="74"/>
      <c r="N12" s="74"/>
    </row>
    <row r="13" spans="1:14" x14ac:dyDescent="0.25">
      <c r="A13" s="119">
        <f t="shared" si="1"/>
        <v>12</v>
      </c>
      <c r="B13" s="119">
        <v>1.61</v>
      </c>
      <c r="C13" s="119">
        <v>5</v>
      </c>
      <c r="D13" s="120">
        <v>0.82899999999999996</v>
      </c>
      <c r="E13" s="119">
        <v>6</v>
      </c>
      <c r="F13" s="122">
        <f t="shared" si="4"/>
        <v>17</v>
      </c>
      <c r="G13" s="121">
        <f t="shared" si="0"/>
        <v>-4.7300000000000004</v>
      </c>
      <c r="H13" s="158">
        <v>6</v>
      </c>
      <c r="I13" s="122">
        <f t="shared" si="2"/>
        <v>17</v>
      </c>
      <c r="J13" s="158">
        <f t="shared" si="3"/>
        <v>-2.5</v>
      </c>
      <c r="K13" s="74"/>
      <c r="L13" s="74"/>
      <c r="M13" s="74"/>
      <c r="N13" s="74"/>
    </row>
    <row r="14" spans="1:14" x14ac:dyDescent="0.25">
      <c r="A14" s="119">
        <f t="shared" si="1"/>
        <v>13</v>
      </c>
      <c r="B14" s="119">
        <v>1.73</v>
      </c>
      <c r="C14" s="119">
        <v>1</v>
      </c>
      <c r="D14" s="120">
        <v>0.85199999999999998</v>
      </c>
      <c r="E14" s="119">
        <v>4</v>
      </c>
      <c r="F14" s="122">
        <f t="shared" si="4"/>
        <v>18</v>
      </c>
      <c r="G14" s="121">
        <f t="shared" si="0"/>
        <v>-3.78</v>
      </c>
      <c r="H14" s="158">
        <v>8</v>
      </c>
      <c r="I14" s="122">
        <f t="shared" si="2"/>
        <v>18</v>
      </c>
      <c r="J14" s="158">
        <f t="shared" si="3"/>
        <v>-2</v>
      </c>
      <c r="K14" s="74"/>
      <c r="L14" s="74"/>
      <c r="M14" s="74"/>
      <c r="N14" s="74"/>
    </row>
    <row r="15" spans="1:14" x14ac:dyDescent="0.25">
      <c r="A15" s="119">
        <f t="shared" si="1"/>
        <v>14</v>
      </c>
      <c r="B15" s="119">
        <v>1.86</v>
      </c>
      <c r="C15" s="119">
        <v>1</v>
      </c>
      <c r="D15" s="120">
        <v>0.875</v>
      </c>
      <c r="E15" s="119">
        <v>5</v>
      </c>
      <c r="F15" s="122">
        <f t="shared" si="4"/>
        <v>19</v>
      </c>
      <c r="G15" s="121">
        <f t="shared" si="0"/>
        <v>-2.84</v>
      </c>
      <c r="H15" s="158">
        <v>9</v>
      </c>
      <c r="I15" s="122">
        <f t="shared" si="2"/>
        <v>19</v>
      </c>
      <c r="J15" s="158">
        <f t="shared" si="3"/>
        <v>-1.5</v>
      </c>
      <c r="K15" s="74"/>
      <c r="L15" s="74"/>
      <c r="M15" s="74"/>
      <c r="N15" s="74"/>
    </row>
    <row r="16" spans="1:14" x14ac:dyDescent="0.25">
      <c r="A16" s="119">
        <f t="shared" si="1"/>
        <v>15</v>
      </c>
      <c r="B16" s="119">
        <v>2</v>
      </c>
      <c r="C16" s="119">
        <v>0</v>
      </c>
      <c r="D16" s="120">
        <v>0.89900000000000002</v>
      </c>
      <c r="E16" s="119">
        <v>4</v>
      </c>
      <c r="F16" s="122">
        <f t="shared" si="4"/>
        <v>20</v>
      </c>
      <c r="G16" s="121">
        <f t="shared" si="0"/>
        <v>-1.89</v>
      </c>
      <c r="H16" s="158">
        <v>3</v>
      </c>
      <c r="I16" s="122">
        <f t="shared" si="2"/>
        <v>20</v>
      </c>
      <c r="J16" s="158">
        <f t="shared" si="3"/>
        <v>-1</v>
      </c>
      <c r="K16" s="74"/>
      <c r="L16" s="74"/>
      <c r="M16" s="74"/>
      <c r="N16" s="74"/>
    </row>
    <row r="17" spans="1:14" x14ac:dyDescent="0.25">
      <c r="A17" s="119">
        <f t="shared" si="1"/>
        <v>16</v>
      </c>
      <c r="B17" s="119">
        <v>2.16</v>
      </c>
      <c r="C17" s="119">
        <v>0</v>
      </c>
      <c r="D17" s="120">
        <v>0.92300000000000004</v>
      </c>
      <c r="E17" s="119">
        <v>4</v>
      </c>
      <c r="F17" s="122">
        <f t="shared" si="4"/>
        <v>21</v>
      </c>
      <c r="G17" s="121">
        <f t="shared" si="0"/>
        <v>-0.95</v>
      </c>
      <c r="H17" s="158">
        <v>1</v>
      </c>
      <c r="I17" s="122">
        <f t="shared" si="2"/>
        <v>21</v>
      </c>
      <c r="J17" s="158">
        <f t="shared" si="3"/>
        <v>-0.5</v>
      </c>
      <c r="K17" s="74"/>
      <c r="L17" s="74"/>
      <c r="M17" s="74"/>
      <c r="N17" s="74"/>
    </row>
    <row r="18" spans="1:14" x14ac:dyDescent="0.25">
      <c r="A18" s="119">
        <f t="shared" si="1"/>
        <v>17</v>
      </c>
      <c r="B18" s="119">
        <v>2.33</v>
      </c>
      <c r="C18" s="119">
        <v>0</v>
      </c>
      <c r="D18" s="120">
        <v>0.94799999999999995</v>
      </c>
      <c r="E18" s="119">
        <v>0</v>
      </c>
      <c r="F18" s="122">
        <f t="shared" si="4"/>
        <v>22</v>
      </c>
      <c r="G18" s="121">
        <f t="shared" si="0"/>
        <v>0</v>
      </c>
      <c r="H18" s="158">
        <v>0</v>
      </c>
      <c r="I18" s="122">
        <f t="shared" si="2"/>
        <v>22</v>
      </c>
      <c r="J18" s="158">
        <f t="shared" si="3"/>
        <v>0</v>
      </c>
      <c r="K18" s="74"/>
      <c r="L18" s="74"/>
      <c r="M18" s="74"/>
      <c r="N18" s="74"/>
    </row>
    <row r="19" spans="1:14" x14ac:dyDescent="0.25">
      <c r="A19" s="119">
        <f t="shared" si="1"/>
        <v>18</v>
      </c>
      <c r="B19" s="119">
        <v>2.5299999999999998</v>
      </c>
      <c r="C19" s="119">
        <v>0</v>
      </c>
      <c r="D19" s="120">
        <v>0.97399999999999998</v>
      </c>
      <c r="E19" s="119">
        <v>0</v>
      </c>
      <c r="F19" s="122">
        <f t="shared" si="4"/>
        <v>23</v>
      </c>
      <c r="G19" s="121">
        <f t="shared" si="0"/>
        <v>0.95</v>
      </c>
      <c r="H19" s="158">
        <v>0</v>
      </c>
      <c r="I19" s="122">
        <f t="shared" si="2"/>
        <v>23</v>
      </c>
      <c r="J19" s="158">
        <f t="shared" si="3"/>
        <v>0.5</v>
      </c>
      <c r="K19" s="74"/>
      <c r="L19" s="74"/>
      <c r="M19" s="74"/>
      <c r="N19" s="74"/>
    </row>
    <row r="20" spans="1:14" s="92" customFormat="1" x14ac:dyDescent="0.25">
      <c r="A20" s="119">
        <f t="shared" si="1"/>
        <v>19</v>
      </c>
      <c r="B20" s="119">
        <v>2.75</v>
      </c>
      <c r="C20" s="119">
        <v>0</v>
      </c>
      <c r="D20" s="120">
        <v>1</v>
      </c>
      <c r="E20" s="119">
        <v>0</v>
      </c>
      <c r="F20" s="122">
        <f t="shared" si="4"/>
        <v>24</v>
      </c>
      <c r="G20" s="121">
        <f t="shared" si="0"/>
        <v>1.89</v>
      </c>
      <c r="H20" s="158">
        <v>0</v>
      </c>
      <c r="I20" s="122">
        <f t="shared" si="2"/>
        <v>24</v>
      </c>
      <c r="J20" s="158">
        <f t="shared" si="3"/>
        <v>1</v>
      </c>
    </row>
    <row r="21" spans="1:14" s="92" customFormat="1" x14ac:dyDescent="0.25">
      <c r="A21" s="119">
        <f t="shared" si="1"/>
        <v>20</v>
      </c>
      <c r="B21" s="119">
        <v>3</v>
      </c>
      <c r="C21" s="119">
        <v>0</v>
      </c>
      <c r="D21" s="120">
        <v>1.0269999999999999</v>
      </c>
      <c r="E21" s="119">
        <v>0</v>
      </c>
      <c r="F21" s="122">
        <f t="shared" si="4"/>
        <v>25</v>
      </c>
      <c r="G21" s="121">
        <f t="shared" si="0"/>
        <v>2.84</v>
      </c>
      <c r="H21" s="158">
        <v>0</v>
      </c>
      <c r="I21" s="122">
        <f t="shared" si="2"/>
        <v>25</v>
      </c>
      <c r="J21" s="158">
        <f t="shared" si="3"/>
        <v>1.5</v>
      </c>
    </row>
    <row r="22" spans="1:14" s="92" customFormat="1" x14ac:dyDescent="0.25">
      <c r="A22" s="119">
        <f t="shared" si="1"/>
        <v>21</v>
      </c>
      <c r="B22" s="119">
        <v>3.29</v>
      </c>
      <c r="C22" s="119">
        <v>0</v>
      </c>
      <c r="D22" s="120">
        <v>1.0529999999999999</v>
      </c>
      <c r="E22" s="119">
        <v>0</v>
      </c>
      <c r="F22" s="122">
        <f t="shared" si="4"/>
        <v>26</v>
      </c>
      <c r="G22" s="121">
        <f t="shared" si="0"/>
        <v>3.78</v>
      </c>
      <c r="H22" s="158">
        <v>0</v>
      </c>
      <c r="I22" s="122">
        <f t="shared" si="2"/>
        <v>26</v>
      </c>
      <c r="J22" s="158">
        <f t="shared" si="3"/>
        <v>2</v>
      </c>
    </row>
    <row r="23" spans="1:14" s="92" customFormat="1" x14ac:dyDescent="0.25">
      <c r="A23" s="119">
        <f t="shared" si="1"/>
        <v>22</v>
      </c>
      <c r="B23" s="119">
        <v>3.62</v>
      </c>
      <c r="C23" s="119">
        <v>0</v>
      </c>
      <c r="D23" s="120">
        <v>1.083</v>
      </c>
      <c r="E23" s="119">
        <v>0</v>
      </c>
      <c r="F23" s="122">
        <f t="shared" si="4"/>
        <v>27</v>
      </c>
      <c r="G23" s="121">
        <f t="shared" si="0"/>
        <v>4.7300000000000004</v>
      </c>
      <c r="H23" s="158">
        <v>0</v>
      </c>
      <c r="I23" s="122">
        <f t="shared" si="2"/>
        <v>27</v>
      </c>
      <c r="J23" s="158">
        <f t="shared" si="3"/>
        <v>2.5</v>
      </c>
    </row>
    <row r="24" spans="1:14" s="92" customFormat="1" x14ac:dyDescent="0.25">
      <c r="A24" s="119">
        <f t="shared" si="1"/>
        <v>23</v>
      </c>
      <c r="B24" s="119">
        <v>4</v>
      </c>
      <c r="C24" s="119">
        <v>0</v>
      </c>
      <c r="D24" s="120">
        <v>1.113</v>
      </c>
      <c r="E24" s="119">
        <v>0</v>
      </c>
      <c r="F24" s="122">
        <f t="shared" si="4"/>
        <v>28</v>
      </c>
      <c r="G24" s="121">
        <f t="shared" si="0"/>
        <v>5.68</v>
      </c>
      <c r="H24" s="158">
        <v>0</v>
      </c>
      <c r="I24" s="122">
        <f t="shared" si="2"/>
        <v>28</v>
      </c>
      <c r="J24" s="158">
        <f t="shared" si="3"/>
        <v>3</v>
      </c>
    </row>
    <row r="25" spans="1:14" s="92" customFormat="1" x14ac:dyDescent="0.25">
      <c r="A25" s="119">
        <f t="shared" si="1"/>
        <v>24</v>
      </c>
      <c r="B25" s="119">
        <v>4.45</v>
      </c>
      <c r="C25" s="119">
        <v>0</v>
      </c>
      <c r="D25" s="120">
        <v>1.143</v>
      </c>
      <c r="E25" s="119">
        <v>0</v>
      </c>
      <c r="F25" s="122">
        <f t="shared" si="4"/>
        <v>29</v>
      </c>
      <c r="G25" s="121">
        <f t="shared" si="0"/>
        <v>6.63</v>
      </c>
      <c r="H25" s="158">
        <v>0</v>
      </c>
      <c r="I25" s="122">
        <f t="shared" si="2"/>
        <v>29</v>
      </c>
      <c r="J25" s="158">
        <f t="shared" si="3"/>
        <v>3.5</v>
      </c>
    </row>
    <row r="26" spans="1:14" s="92" customFormat="1" x14ac:dyDescent="0.25">
      <c r="A26" s="119">
        <f t="shared" si="1"/>
        <v>25</v>
      </c>
      <c r="B26" s="119">
        <v>5</v>
      </c>
      <c r="C26" s="119">
        <v>0</v>
      </c>
      <c r="D26" s="120">
        <v>1.1739999999999999</v>
      </c>
      <c r="E26" s="119">
        <v>0</v>
      </c>
      <c r="F26" s="122">
        <f t="shared" si="4"/>
        <v>30</v>
      </c>
      <c r="G26" s="121">
        <f t="shared" si="0"/>
        <v>7.59</v>
      </c>
      <c r="H26" s="158">
        <v>0</v>
      </c>
      <c r="I26" s="122">
        <f t="shared" si="2"/>
        <v>30</v>
      </c>
      <c r="J26" s="158">
        <f t="shared" si="3"/>
        <v>4</v>
      </c>
    </row>
    <row r="27" spans="1:14" s="92" customFormat="1" x14ac:dyDescent="0.25">
      <c r="A27" s="119">
        <f t="shared" si="1"/>
        <v>26</v>
      </c>
      <c r="B27" s="119">
        <v>5.67</v>
      </c>
      <c r="C27" s="119">
        <v>0</v>
      </c>
      <c r="D27" s="120">
        <v>1.206</v>
      </c>
      <c r="E27" s="119">
        <v>0</v>
      </c>
      <c r="F27" s="122">
        <f t="shared" si="4"/>
        <v>31</v>
      </c>
      <c r="G27" s="121">
        <f t="shared" si="0"/>
        <v>8.5399999999999991</v>
      </c>
      <c r="H27" s="158">
        <v>0</v>
      </c>
      <c r="I27" s="122">
        <f t="shared" si="2"/>
        <v>31</v>
      </c>
      <c r="J27" s="158">
        <f t="shared" si="3"/>
        <v>4.5</v>
      </c>
    </row>
    <row r="28" spans="1:14" s="92" customFormat="1" x14ac:dyDescent="0.25">
      <c r="A28" s="119">
        <f t="shared" si="1"/>
        <v>27</v>
      </c>
      <c r="B28" s="119">
        <v>6.5</v>
      </c>
      <c r="C28" s="119">
        <v>0</v>
      </c>
      <c r="D28" s="120">
        <v>1.2390000000000001</v>
      </c>
      <c r="E28" s="119">
        <v>0</v>
      </c>
      <c r="F28" s="122">
        <f t="shared" si="4"/>
        <v>32</v>
      </c>
      <c r="G28" s="121">
        <f t="shared" si="0"/>
        <v>9.5</v>
      </c>
      <c r="H28" s="158">
        <v>0</v>
      </c>
      <c r="I28" s="122">
        <f t="shared" si="2"/>
        <v>32</v>
      </c>
      <c r="J28" s="158">
        <f t="shared" si="3"/>
        <v>5</v>
      </c>
    </row>
    <row r="29" spans="1:14" s="92" customFormat="1" x14ac:dyDescent="0.25">
      <c r="A29" s="119">
        <f t="shared" si="1"/>
        <v>28</v>
      </c>
      <c r="B29" s="119">
        <v>7.57</v>
      </c>
      <c r="C29" s="119">
        <v>0</v>
      </c>
      <c r="D29" s="120">
        <v>1.272</v>
      </c>
      <c r="E29" s="119">
        <v>0</v>
      </c>
      <c r="F29" s="122">
        <f t="shared" si="4"/>
        <v>33</v>
      </c>
      <c r="G29" s="121">
        <f t="shared" si="0"/>
        <v>10.46</v>
      </c>
      <c r="H29" s="158">
        <v>0</v>
      </c>
      <c r="I29" s="122">
        <f t="shared" si="2"/>
        <v>33</v>
      </c>
      <c r="J29" s="158">
        <f t="shared" si="3"/>
        <v>5.5</v>
      </c>
    </row>
    <row r="30" spans="1:14" s="92" customFormat="1" x14ac:dyDescent="0.25">
      <c r="A30" s="119">
        <f t="shared" si="1"/>
        <v>29</v>
      </c>
      <c r="B30" s="119">
        <v>9</v>
      </c>
      <c r="C30" s="119">
        <v>0</v>
      </c>
      <c r="D30" s="120">
        <v>1.3080000000000001</v>
      </c>
      <c r="E30" s="119">
        <v>0</v>
      </c>
      <c r="F30" s="122">
        <f t="shared" si="4"/>
        <v>34</v>
      </c>
      <c r="G30" s="121">
        <f t="shared" si="0"/>
        <v>11.42</v>
      </c>
      <c r="H30" s="158">
        <v>0</v>
      </c>
      <c r="I30" s="122">
        <f t="shared" si="2"/>
        <v>34</v>
      </c>
      <c r="J30" s="158">
        <f t="shared" si="3"/>
        <v>6</v>
      </c>
    </row>
    <row r="31" spans="1:14" s="92" customFormat="1" x14ac:dyDescent="0.25">
      <c r="A31" s="119">
        <f t="shared" si="1"/>
        <v>30</v>
      </c>
      <c r="B31" s="119">
        <v>10.5</v>
      </c>
      <c r="C31" s="119">
        <v>0</v>
      </c>
      <c r="D31" s="120">
        <v>1.3440000000000001</v>
      </c>
      <c r="E31" s="119">
        <v>0</v>
      </c>
      <c r="F31" s="122">
        <f t="shared" si="4"/>
        <v>35</v>
      </c>
      <c r="G31" s="121">
        <f t="shared" si="0"/>
        <v>12.39</v>
      </c>
      <c r="H31" s="158">
        <v>0</v>
      </c>
      <c r="I31" s="122">
        <f t="shared" si="2"/>
        <v>35</v>
      </c>
      <c r="J31" s="158">
        <f t="shared" si="3"/>
        <v>6.5</v>
      </c>
    </row>
    <row r="32" spans="1:14" s="92" customFormat="1" x14ac:dyDescent="0.25">
      <c r="A32" s="119"/>
      <c r="B32" s="119"/>
      <c r="C32" s="119"/>
      <c r="D32" s="120">
        <v>1.381</v>
      </c>
      <c r="E32" s="119">
        <v>0</v>
      </c>
      <c r="F32" s="122">
        <f t="shared" si="4"/>
        <v>36</v>
      </c>
      <c r="G32" s="121"/>
      <c r="H32" s="158"/>
      <c r="I32" s="122"/>
      <c r="J32" s="158"/>
    </row>
    <row r="33" spans="1:10" s="92" customFormat="1" x14ac:dyDescent="0.25">
      <c r="A33" s="119"/>
      <c r="B33" s="119"/>
      <c r="C33" s="119"/>
      <c r="D33" s="120">
        <v>1.42</v>
      </c>
      <c r="E33" s="119">
        <v>0</v>
      </c>
      <c r="F33" s="122">
        <f t="shared" si="4"/>
        <v>37</v>
      </c>
      <c r="G33" s="121"/>
      <c r="H33" s="158"/>
      <c r="I33" s="122"/>
      <c r="J33" s="158"/>
    </row>
    <row r="34" spans="1:10" s="92" customFormat="1" x14ac:dyDescent="0.25">
      <c r="A34" s="119"/>
      <c r="B34" s="119"/>
      <c r="C34" s="119"/>
      <c r="D34" s="120"/>
      <c r="E34" s="119"/>
      <c r="F34" s="122"/>
      <c r="G34" s="121"/>
      <c r="H34" s="158"/>
      <c r="I34" s="122"/>
      <c r="J34" s="158"/>
    </row>
    <row r="35" spans="1:10" s="92" customFormat="1" x14ac:dyDescent="0.25">
      <c r="A35" s="119"/>
      <c r="B35" s="119"/>
      <c r="C35" s="119">
        <f>MAX(C1:C31)+2</f>
        <v>14</v>
      </c>
      <c r="D35" s="119"/>
      <c r="E35" s="119">
        <f>MAX(E1:E31)+2</f>
        <v>8</v>
      </c>
      <c r="F35" s="119"/>
      <c r="G35" s="158"/>
      <c r="H35" s="158">
        <f>MAX(H1:H31)+2</f>
        <v>11</v>
      </c>
      <c r="I35" s="158"/>
      <c r="J35" s="158">
        <f>J31+0.5</f>
        <v>7</v>
      </c>
    </row>
    <row r="36" spans="1:10" s="92" customFormat="1" x14ac:dyDescent="0.25">
      <c r="A36" s="243" t="s">
        <v>84</v>
      </c>
      <c r="B36" s="243"/>
      <c r="C36" s="243"/>
      <c r="D36" s="243" t="s">
        <v>105</v>
      </c>
      <c r="E36" s="243"/>
      <c r="F36" s="243"/>
      <c r="G36" s="243" t="s">
        <v>1</v>
      </c>
      <c r="H36" s="243"/>
      <c r="I36" s="243"/>
      <c r="J36" s="243"/>
    </row>
    <row r="37" spans="1:10" s="92" customFormat="1" ht="26.4" x14ac:dyDescent="0.25">
      <c r="A37" s="123" t="s">
        <v>106</v>
      </c>
      <c r="B37" s="123" t="s">
        <v>107</v>
      </c>
      <c r="C37" s="123" t="s">
        <v>108</v>
      </c>
      <c r="D37" s="123" t="s">
        <v>107</v>
      </c>
      <c r="E37" s="123" t="s">
        <v>109</v>
      </c>
      <c r="F37" s="123" t="s">
        <v>106</v>
      </c>
      <c r="G37" s="123" t="s">
        <v>107</v>
      </c>
      <c r="H37" s="123" t="s">
        <v>109</v>
      </c>
      <c r="I37" s="123" t="s">
        <v>106</v>
      </c>
      <c r="J37" s="158" t="s">
        <v>110</v>
      </c>
    </row>
    <row r="38" spans="1:10" s="92" customFormat="1" x14ac:dyDescent="0.25">
      <c r="A38" s="90"/>
      <c r="B38" s="90"/>
      <c r="C38" s="90"/>
      <c r="D38" s="90"/>
      <c r="E38" s="90"/>
      <c r="F38" s="90"/>
      <c r="G38" s="90"/>
      <c r="H38" s="90"/>
      <c r="I38" s="90"/>
      <c r="J38" s="90"/>
    </row>
    <row r="39" spans="1:10" s="92" customFormat="1" x14ac:dyDescent="0.25">
      <c r="A39" s="90"/>
      <c r="B39" s="90"/>
      <c r="C39" s="90"/>
      <c r="D39" s="90"/>
      <c r="E39" s="90"/>
      <c r="F39" s="90"/>
      <c r="G39" s="90"/>
      <c r="H39" s="90"/>
      <c r="I39" s="90"/>
      <c r="J39" s="90"/>
    </row>
  </sheetData>
  <sheetProtection password="C1AF" sheet="1" objects="1" scenarios="1" selectLockedCells="1" selectUnlockedCells="1"/>
  <mergeCells count="3">
    <mergeCell ref="A36:C36"/>
    <mergeCell ref="D36:F36"/>
    <mergeCell ref="G36:J36"/>
  </mergeCells>
  <phoneticPr fontId="6" type="noConversion"/>
  <printOptions horizontalCentered="1"/>
  <pageMargins left="0.78740157480314965" right="0.78740157480314965" top="0.70866141732283472" bottom="0.59055118110236227" header="0.51181102362204722" footer="0.51181102362204722"/>
  <pageSetup paperSize="9" orientation="portrait" horizontalDpi="200" verticalDpi="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9"/>
  </sheetPr>
  <dimension ref="A1"/>
  <sheetViews>
    <sheetView showGridLines="0" showRowColHeaders="0" topLeftCell="A7" zoomScale="175" zoomScaleSheetLayoutView="175" workbookViewId="0"/>
  </sheetViews>
  <sheetFormatPr defaultRowHeight="13.2" x14ac:dyDescent="0.25"/>
  <sheetData>
    <row r="1" spans="1:1" x14ac:dyDescent="0.25">
      <c r="A1" s="90">
        <f>Графики!C35</f>
        <v>14</v>
      </c>
    </row>
  </sheetData>
  <sheetProtection password="C1AF" sheet="1" objects="1" scenarios="1"/>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indexed="9"/>
  </sheetPr>
  <dimension ref="A1"/>
  <sheetViews>
    <sheetView showGridLines="0" showRowColHeaders="0" topLeftCell="A4" zoomScale="175" zoomScaleNormal="175" zoomScaleSheetLayoutView="175" workbookViewId="0"/>
  </sheetViews>
  <sheetFormatPr defaultRowHeight="13.2" x14ac:dyDescent="0.25"/>
  <sheetData>
    <row r="1" spans="1:1" x14ac:dyDescent="0.25">
      <c r="A1" s="90">
        <f>Графики!H35</f>
        <v>11</v>
      </c>
    </row>
  </sheetData>
  <sheetProtection password="C1AF" sheet="1" objects="1" scenario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indexed="9"/>
  </sheetPr>
  <dimension ref="A1"/>
  <sheetViews>
    <sheetView showGridLines="0" showRowColHeaders="0" tabSelected="1" zoomScale="175" zoomScaleSheetLayoutView="175" workbookViewId="0"/>
  </sheetViews>
  <sheetFormatPr defaultRowHeight="13.2" x14ac:dyDescent="0.25"/>
  <sheetData>
    <row r="1" spans="1:1" x14ac:dyDescent="0.25">
      <c r="A1" s="90">
        <f>Графики!E35</f>
        <v>8</v>
      </c>
    </row>
  </sheetData>
  <sheetProtection password="C1AF" sheet="1" objects="1" scenario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indexed="9"/>
    <pageSetUpPr fitToPage="1"/>
  </sheetPr>
  <dimension ref="A1:AR130"/>
  <sheetViews>
    <sheetView showGridLines="0" showRowColHeaders="0" topLeftCell="A13" zoomScale="75" zoomScaleNormal="75" workbookViewId="0">
      <selection sqref="A1:E1"/>
    </sheetView>
  </sheetViews>
  <sheetFormatPr defaultRowHeight="13.2" x14ac:dyDescent="0.25"/>
  <cols>
    <col min="1" max="1" width="8.21875" customWidth="1"/>
    <col min="2" max="2" width="45.44140625" customWidth="1"/>
    <col min="3" max="3" width="17.33203125" customWidth="1"/>
    <col min="4" max="4" width="14.77734375" customWidth="1"/>
    <col min="5" max="5" width="57" customWidth="1"/>
    <col min="6" max="7" width="10.6640625" style="82" customWidth="1"/>
    <col min="8" max="21" width="8.88671875" style="82"/>
    <col min="22" max="22" width="8.88671875" style="140"/>
    <col min="23" max="38" width="8.88671875" style="82"/>
    <col min="39" max="43" width="8.88671875" style="90"/>
  </cols>
  <sheetData>
    <row r="1" spans="1:44" ht="12" customHeight="1" x14ac:dyDescent="0.25">
      <c r="A1" s="253" t="s">
        <v>34</v>
      </c>
      <c r="B1" s="253"/>
      <c r="C1" s="253"/>
      <c r="D1" s="253"/>
      <c r="E1" s="253"/>
      <c r="F1" s="86"/>
      <c r="G1" s="86"/>
      <c r="H1" s="86"/>
      <c r="I1" s="86"/>
      <c r="J1" s="86"/>
      <c r="K1" s="86"/>
      <c r="L1" s="86"/>
      <c r="N1" s="79"/>
      <c r="O1" s="79"/>
      <c r="P1" s="79"/>
      <c r="Q1" s="80">
        <f>IF(AND(Индексы!B2,Результаты!B3=" ",Результаты!C3=" ",Результаты!D3=" ",Результаты!E3=" "),1,0)</f>
        <v>0</v>
      </c>
      <c r="R1" s="79"/>
      <c r="S1" s="79"/>
      <c r="T1" s="79"/>
      <c r="U1" s="79"/>
      <c r="V1" s="125"/>
      <c r="W1" s="79"/>
      <c r="X1" s="79"/>
      <c r="Y1" s="81"/>
    </row>
    <row r="2" spans="1:44" s="19" customFormat="1" ht="12" customHeight="1" x14ac:dyDescent="0.25">
      <c r="A2" s="59" t="s">
        <v>13</v>
      </c>
      <c r="B2" s="60" t="s">
        <v>36</v>
      </c>
      <c r="C2" s="60" t="s">
        <v>37</v>
      </c>
      <c r="D2" s="60" t="s">
        <v>116</v>
      </c>
      <c r="E2" s="60" t="s">
        <v>38</v>
      </c>
      <c r="F2" s="96"/>
      <c r="G2" s="96"/>
      <c r="H2" s="97"/>
      <c r="I2" s="97"/>
      <c r="J2" s="97"/>
      <c r="K2" s="97"/>
      <c r="L2" s="97"/>
      <c r="M2" s="97"/>
      <c r="N2" s="79"/>
      <c r="O2" s="79"/>
      <c r="P2" s="79"/>
      <c r="Q2" s="80">
        <f>IF(AND(Индексы!B3,Результаты!B4=" ",Результаты!C4=" ",Результаты!D4=" ",Результаты!E4=" "),1,0)</f>
        <v>0</v>
      </c>
      <c r="R2" s="79"/>
      <c r="S2" s="79"/>
      <c r="T2" s="79"/>
      <c r="U2" s="79"/>
      <c r="V2" s="125"/>
      <c r="W2" s="79"/>
      <c r="X2" s="79"/>
      <c r="Y2" s="79"/>
      <c r="Z2" s="83"/>
      <c r="AA2" s="83"/>
      <c r="AB2" s="83"/>
      <c r="AC2" s="83"/>
      <c r="AD2" s="83"/>
      <c r="AE2" s="83"/>
      <c r="AF2" s="83"/>
      <c r="AG2" s="83"/>
      <c r="AH2" s="83"/>
      <c r="AI2" s="83"/>
      <c r="AJ2" s="83"/>
      <c r="AK2" s="83"/>
      <c r="AL2" s="83"/>
      <c r="AM2" s="93"/>
      <c r="AN2" s="93"/>
      <c r="AO2" s="93"/>
      <c r="AP2" s="93"/>
      <c r="AQ2" s="93"/>
    </row>
    <row r="3" spans="1:44" s="25" customFormat="1" ht="12" customHeight="1" x14ac:dyDescent="0.25">
      <c r="A3" s="61">
        <v>1</v>
      </c>
      <c r="B3" s="62" t="s">
        <v>54</v>
      </c>
      <c r="C3" s="63">
        <f>COUNTIF(Индексы!$B$2:$B$101,"&gt;0")</f>
        <v>30</v>
      </c>
      <c r="D3" s="106"/>
      <c r="E3" s="63" t="s">
        <v>63</v>
      </c>
      <c r="F3" s="98"/>
      <c r="G3" s="98"/>
      <c r="H3" s="99"/>
      <c r="I3" s="99"/>
      <c r="J3" s="99"/>
      <c r="K3" s="99"/>
      <c r="L3" s="99"/>
      <c r="M3" s="99"/>
      <c r="N3" s="110"/>
      <c r="O3" s="110"/>
      <c r="P3" s="110"/>
      <c r="Q3" s="80">
        <f>IF(AND(Индексы!B4,Результаты!B5=" ",Результаты!C5=" ",Результаты!D5=" ",Результаты!E5=" "),1,0)</f>
        <v>0</v>
      </c>
      <c r="R3" s="110"/>
      <c r="S3" s="110"/>
      <c r="T3" s="110"/>
      <c r="U3" s="110"/>
      <c r="V3" s="126"/>
      <c r="W3" s="110"/>
      <c r="X3" s="110"/>
      <c r="Y3" s="110"/>
      <c r="Z3" s="84"/>
      <c r="AA3" s="84"/>
      <c r="AB3" s="84"/>
      <c r="AC3" s="84"/>
      <c r="AD3" s="84"/>
      <c r="AE3" s="84"/>
      <c r="AF3" s="84"/>
      <c r="AG3" s="84"/>
      <c r="AH3" s="84"/>
      <c r="AI3" s="84"/>
      <c r="AJ3" s="84"/>
      <c r="AK3" s="84"/>
      <c r="AL3" s="84"/>
      <c r="AM3" s="94"/>
      <c r="AN3" s="94"/>
      <c r="AO3" s="94"/>
      <c r="AP3" s="94"/>
      <c r="AQ3" s="94"/>
    </row>
    <row r="4" spans="1:44" s="25" customFormat="1" ht="24" customHeight="1" x14ac:dyDescent="0.25">
      <c r="A4" s="61">
        <v>2</v>
      </c>
      <c r="B4" s="62" t="s">
        <v>55</v>
      </c>
      <c r="C4" s="64">
        <f>P7/C3</f>
        <v>0</v>
      </c>
      <c r="D4" s="106">
        <f>-ROUND(C4/5%,0)</f>
        <v>0</v>
      </c>
      <c r="E4" s="63" t="s">
        <v>129</v>
      </c>
      <c r="F4" s="98"/>
      <c r="G4" s="98"/>
      <c r="H4" s="99"/>
      <c r="I4" s="99"/>
      <c r="J4" s="99"/>
      <c r="K4" s="99"/>
      <c r="L4" s="99"/>
      <c r="M4" s="99"/>
      <c r="N4" s="110"/>
      <c r="O4" s="110"/>
      <c r="P4" s="110"/>
      <c r="Q4" s="80">
        <f>IF(AND(Индексы!B5,Результаты!B6=" ",Результаты!C6=" ",Результаты!D6=" ",Результаты!E6=" "),1,0)</f>
        <v>0</v>
      </c>
      <c r="R4" s="110"/>
      <c r="S4" s="110"/>
      <c r="T4" s="110"/>
      <c r="U4" s="110"/>
      <c r="V4" s="126"/>
      <c r="W4" s="110"/>
      <c r="X4" s="110"/>
      <c r="Y4" s="110"/>
      <c r="Z4" s="84"/>
      <c r="AA4" s="84"/>
      <c r="AB4" s="84"/>
      <c r="AC4" s="84"/>
      <c r="AD4" s="84"/>
      <c r="AE4" s="84"/>
      <c r="AF4" s="84"/>
      <c r="AG4" s="84"/>
      <c r="AH4" s="84"/>
      <c r="AI4" s="84"/>
      <c r="AJ4" s="84"/>
      <c r="AK4" s="84"/>
      <c r="AL4" s="84"/>
      <c r="AM4" s="94"/>
      <c r="AN4" s="94"/>
      <c r="AO4" s="94"/>
      <c r="AP4" s="94"/>
      <c r="AQ4" s="94"/>
    </row>
    <row r="5" spans="1:44" s="25" customFormat="1" ht="24.6" customHeight="1" x14ac:dyDescent="0.25">
      <c r="A5" s="246">
        <v>3</v>
      </c>
      <c r="B5" s="62" t="s">
        <v>85</v>
      </c>
      <c r="C5" s="63"/>
      <c r="D5" s="106"/>
      <c r="E5" s="63" t="s">
        <v>65</v>
      </c>
      <c r="F5" s="98"/>
      <c r="G5" s="98"/>
      <c r="H5" s="99"/>
      <c r="I5" s="99"/>
      <c r="J5" s="99"/>
      <c r="K5" s="99"/>
      <c r="L5" s="99"/>
      <c r="M5" s="99"/>
      <c r="N5" s="110"/>
      <c r="O5" s="110"/>
      <c r="P5" s="110"/>
      <c r="Q5" s="80">
        <f>IF(AND(Индексы!B6,Результаты!B7=" ",Результаты!C7=" ",Результаты!D7=" ",Результаты!E7=" "),1,0)</f>
        <v>0</v>
      </c>
      <c r="R5" s="110"/>
      <c r="S5" s="110"/>
      <c r="T5" s="110"/>
      <c r="U5" s="110"/>
      <c r="V5" s="126"/>
      <c r="W5" s="110"/>
      <c r="X5" s="110"/>
      <c r="Y5" s="110"/>
      <c r="Z5" s="84"/>
      <c r="AA5" s="84"/>
      <c r="AB5" s="84"/>
      <c r="AC5" s="84"/>
      <c r="AD5" s="84"/>
      <c r="AE5" s="84"/>
      <c r="AF5" s="84"/>
      <c r="AG5" s="84"/>
      <c r="AH5" s="84"/>
      <c r="AI5" s="84"/>
      <c r="AJ5" s="84"/>
      <c r="AK5" s="84"/>
      <c r="AL5" s="84"/>
      <c r="AM5" s="94"/>
      <c r="AN5" s="94"/>
      <c r="AO5" s="94"/>
      <c r="AP5" s="94"/>
      <c r="AQ5" s="94"/>
    </row>
    <row r="6" spans="1:44" s="24" customFormat="1" ht="12" customHeight="1" x14ac:dyDescent="0.25">
      <c r="A6" s="254"/>
      <c r="B6" s="65" t="s">
        <v>39</v>
      </c>
      <c r="C6" s="163" t="str">
        <f>TEXT(Индексы!B102,"0,000")&amp;" ± "&amp;TEXT(ROUND(Индексы!B103,3)/POWER(COUNTIF(Индексы!$B$2:$B$101,"&gt;0"),0.5),"0,000")</f>
        <v>1,433 ± 0,022</v>
      </c>
      <c r="D6" s="107"/>
      <c r="E6" s="66" t="str">
        <f>ROUND(Индексы!E102*100,1)&amp;" ± "&amp;ROUND(ROUND(Индексы!E103*100,1)/POWER(COUNTIF(Индексы!$B$2:$B$101,"&gt;0"),0.5),2)&amp;"% по Алпатову"</f>
        <v>73,9 ± 1,08% по Алпатову</v>
      </c>
      <c r="F6" s="100"/>
      <c r="G6" s="100"/>
      <c r="H6" s="101"/>
      <c r="I6" s="101"/>
      <c r="J6" s="101"/>
      <c r="K6" s="101"/>
      <c r="L6" s="101"/>
      <c r="M6" s="101"/>
      <c r="N6" s="111"/>
      <c r="O6" s="111"/>
      <c r="P6" s="111"/>
      <c r="Q6" s="80">
        <f>IF(AND(Индексы!B7,Результаты!B8=" ",Результаты!C8=" ",Результаты!D8=" ",Результаты!E8=" "),1,0)</f>
        <v>0</v>
      </c>
      <c r="R6" s="159"/>
      <c r="S6" s="159"/>
      <c r="T6" s="159"/>
      <c r="U6" s="159"/>
      <c r="V6" s="127"/>
      <c r="W6" s="159"/>
      <c r="X6" s="159"/>
      <c r="Y6" s="159"/>
      <c r="Z6" s="85"/>
      <c r="AA6" s="85"/>
      <c r="AB6" s="85"/>
      <c r="AC6" s="85"/>
      <c r="AD6" s="85"/>
      <c r="AE6" s="85"/>
      <c r="AF6" s="85"/>
      <c r="AG6" s="85"/>
      <c r="AH6" s="85"/>
      <c r="AI6" s="85"/>
      <c r="AJ6" s="85"/>
      <c r="AK6" s="85"/>
      <c r="AL6" s="85"/>
      <c r="AM6" s="95"/>
      <c r="AN6" s="95"/>
      <c r="AO6" s="95"/>
      <c r="AP6" s="95"/>
      <c r="AQ6" s="95"/>
    </row>
    <row r="7" spans="1:44" s="24" customFormat="1" ht="12" customHeight="1" x14ac:dyDescent="0.25">
      <c r="A7" s="254"/>
      <c r="B7" s="65" t="s">
        <v>40</v>
      </c>
      <c r="C7" s="163" t="str">
        <f>TEXT(Индексы!C102,"0,000")&amp;" ± "&amp;ABS(TEXT(ROUND(Индексы!C103,3)/POWER(COUNTIF(Индексы!$B$2:$B$101,"&gt;0"),0.5),"0,000"))</f>
        <v>-4,051 ± 0,213</v>
      </c>
      <c r="D7" s="107"/>
      <c r="E7" s="67"/>
      <c r="F7" s="100"/>
      <c r="G7" s="100"/>
      <c r="H7" s="101"/>
      <c r="I7" s="101"/>
      <c r="J7" s="101"/>
      <c r="K7" s="101"/>
      <c r="L7" s="101"/>
      <c r="M7" s="101"/>
      <c r="N7" s="252" t="s">
        <v>35</v>
      </c>
      <c r="O7" s="252"/>
      <c r="P7" s="111">
        <f>SUM(Q1:Q106)</f>
        <v>0</v>
      </c>
      <c r="Q7" s="80">
        <f>IF(AND(Индексы!B8,Результаты!B9=" ",Результаты!C9=" ",Результаты!D9=" ",Результаты!E9=" "),1,0)</f>
        <v>0</v>
      </c>
      <c r="R7" s="159"/>
      <c r="S7" s="159"/>
      <c r="T7" s="159"/>
      <c r="U7" s="159"/>
      <c r="V7" s="127"/>
      <c r="W7" s="159"/>
      <c r="X7" s="159"/>
      <c r="Y7" s="159"/>
      <c r="Z7" s="85"/>
      <c r="AA7" s="85"/>
      <c r="AB7" s="85"/>
      <c r="AC7" s="85"/>
      <c r="AD7" s="85"/>
      <c r="AE7" s="85"/>
      <c r="AF7" s="85"/>
      <c r="AG7" s="85"/>
      <c r="AH7" s="85"/>
      <c r="AI7" s="85"/>
      <c r="AJ7" s="85"/>
      <c r="AK7" s="85"/>
      <c r="AL7" s="85"/>
      <c r="AM7" s="95"/>
      <c r="AN7" s="95"/>
      <c r="AO7" s="95"/>
      <c r="AP7" s="95"/>
      <c r="AQ7" s="95"/>
      <c r="AR7" s="72"/>
    </row>
    <row r="8" spans="1:44" s="24" customFormat="1" ht="12" customHeight="1" x14ac:dyDescent="0.25">
      <c r="A8" s="255"/>
      <c r="B8" s="65" t="s">
        <v>41</v>
      </c>
      <c r="C8" s="163" t="str">
        <f>TEXT(Индексы!D102,"0,000")&amp;" ± "&amp;TEXT(ROUND(Индексы!D103,3)/POWER(COUNTIF(Индексы!$B$2:$B$101,"&gt;0"),0.5),"0,000")</f>
        <v>0,843 ± 0,008</v>
      </c>
      <c r="D8" s="107"/>
      <c r="E8" s="67"/>
      <c r="F8" s="100"/>
      <c r="G8" s="100"/>
      <c r="H8" s="101"/>
      <c r="I8" s="101"/>
      <c r="J8" s="101"/>
      <c r="K8" s="101"/>
      <c r="L8" s="101"/>
      <c r="M8" s="101"/>
      <c r="N8" s="111"/>
      <c r="O8" s="85"/>
      <c r="P8" s="111"/>
      <c r="Q8" s="80">
        <f>IF(AND(Индексы!B9,Результаты!B10=" ",Результаты!C10=" ",Результаты!D10=" ",Результаты!E10=" "),1,0)</f>
        <v>0</v>
      </c>
      <c r="R8" s="159"/>
      <c r="S8" s="159"/>
      <c r="T8" s="159"/>
      <c r="U8" s="159"/>
      <c r="V8" s="127"/>
      <c r="W8" s="159"/>
      <c r="X8" s="159"/>
      <c r="Y8" s="159"/>
      <c r="Z8" s="85"/>
      <c r="AA8" s="85"/>
      <c r="AB8" s="85"/>
      <c r="AC8" s="85"/>
      <c r="AD8" s="85"/>
      <c r="AE8" s="85"/>
      <c r="AF8" s="85"/>
      <c r="AG8" s="85"/>
      <c r="AH8" s="85"/>
      <c r="AI8" s="85"/>
      <c r="AJ8" s="85"/>
      <c r="AK8" s="85"/>
      <c r="AL8" s="85"/>
      <c r="AM8" s="95"/>
      <c r="AN8" s="95"/>
      <c r="AO8" s="95"/>
      <c r="AP8" s="95"/>
      <c r="AQ8" s="95"/>
    </row>
    <row r="9" spans="1:44" s="25" customFormat="1" ht="28.2" customHeight="1" x14ac:dyDescent="0.25">
      <c r="A9" s="246" t="s">
        <v>49</v>
      </c>
      <c r="B9" s="62" t="s">
        <v>56</v>
      </c>
      <c r="C9" s="63"/>
      <c r="D9" s="106"/>
      <c r="E9" s="63" t="s">
        <v>64</v>
      </c>
      <c r="F9" s="98"/>
      <c r="G9" s="98"/>
      <c r="H9" s="99"/>
      <c r="I9" s="99"/>
      <c r="J9" s="99"/>
      <c r="K9" s="99"/>
      <c r="L9" s="99"/>
      <c r="M9" s="99"/>
      <c r="N9" s="110"/>
      <c r="O9" s="110"/>
      <c r="P9" s="110"/>
      <c r="Q9" s="80">
        <f>IF(AND(Индексы!B10,Результаты!B11=" ",Результаты!C11=" ",Результаты!D11=" ",Результаты!E11=" "),1,0)</f>
        <v>0</v>
      </c>
      <c r="R9" s="110"/>
      <c r="S9" s="110"/>
      <c r="T9" s="110"/>
      <c r="U9" s="110"/>
      <c r="V9" s="126"/>
      <c r="W9" s="110"/>
      <c r="X9" s="110"/>
      <c r="Y9" s="110"/>
      <c r="Z9" s="84"/>
      <c r="AA9" s="84"/>
      <c r="AB9" s="84"/>
      <c r="AC9" s="84"/>
      <c r="AD9" s="84"/>
      <c r="AE9" s="84"/>
      <c r="AF9" s="84"/>
      <c r="AG9" s="84"/>
      <c r="AH9" s="84"/>
      <c r="AI9" s="84"/>
      <c r="AJ9" s="84"/>
      <c r="AK9" s="84"/>
      <c r="AL9" s="84"/>
      <c r="AM9" s="94"/>
      <c r="AN9" s="94"/>
      <c r="AO9" s="94"/>
      <c r="AP9" s="94"/>
      <c r="AQ9" s="94"/>
    </row>
    <row r="10" spans="1:44" s="24" customFormat="1" ht="12" customHeight="1" x14ac:dyDescent="0.25">
      <c r="A10" s="254"/>
      <c r="B10" s="65" t="str">
        <f>"    - "&amp;Результаты!H23</f>
        <v xml:space="preserve">    - Mellifera</v>
      </c>
      <c r="C10" s="164">
        <f>Результаты!I23</f>
        <v>30</v>
      </c>
      <c r="D10" s="107"/>
      <c r="E10" s="67"/>
      <c r="F10" s="100"/>
      <c r="G10" s="100"/>
      <c r="H10" s="101"/>
      <c r="I10" s="101"/>
      <c r="J10" s="101"/>
      <c r="K10" s="101"/>
      <c r="L10" s="101"/>
      <c r="M10" s="101"/>
      <c r="N10" s="111"/>
      <c r="O10" s="111"/>
      <c r="P10" s="111"/>
      <c r="Q10" s="80">
        <f>IF(AND(Индексы!B11,Результаты!B12=" ",Результаты!C12=" ",Результаты!D12=" ",Результаты!E12=" "),1,0)</f>
        <v>0</v>
      </c>
      <c r="R10" s="159"/>
      <c r="S10" s="159"/>
      <c r="T10" s="159"/>
      <c r="U10" s="159"/>
      <c r="V10" s="127"/>
      <c r="W10" s="159"/>
      <c r="X10" s="159"/>
      <c r="Y10" s="159"/>
      <c r="Z10" s="85"/>
      <c r="AA10" s="85"/>
      <c r="AB10" s="85"/>
      <c r="AC10" s="85"/>
      <c r="AD10" s="85"/>
      <c r="AE10" s="85"/>
      <c r="AF10" s="85"/>
      <c r="AG10" s="85"/>
      <c r="AH10" s="85"/>
      <c r="AI10" s="85"/>
      <c r="AJ10" s="85"/>
      <c r="AK10" s="85"/>
      <c r="AL10" s="85"/>
      <c r="AM10" s="95"/>
      <c r="AN10" s="95"/>
      <c r="AO10" s="95"/>
      <c r="AP10" s="95"/>
      <c r="AQ10" s="95"/>
    </row>
    <row r="11" spans="1:44" s="24" customFormat="1" ht="12" customHeight="1" x14ac:dyDescent="0.25">
      <c r="A11" s="254"/>
      <c r="B11" s="65" t="str">
        <f>"    - "&amp;Результаты!H24</f>
        <v xml:space="preserve">    - Caucasica</v>
      </c>
      <c r="C11" s="164">
        <f>Результаты!I24</f>
        <v>0</v>
      </c>
      <c r="D11" s="107"/>
      <c r="E11" s="67"/>
      <c r="F11" s="100"/>
      <c r="G11" s="100"/>
      <c r="H11" s="101"/>
      <c r="I11" s="101"/>
      <c r="J11" s="101"/>
      <c r="K11" s="101"/>
      <c r="L11" s="101"/>
      <c r="M11" s="101"/>
      <c r="N11" s="111"/>
      <c r="O11" s="111"/>
      <c r="P11" s="111"/>
      <c r="Q11" s="80">
        <f>IF(AND(Индексы!B12,Результаты!B13=" ",Результаты!C13=" ",Результаты!D13=" ",Результаты!E13=" "),1,0)</f>
        <v>0</v>
      </c>
      <c r="R11" s="159"/>
      <c r="S11" s="159"/>
      <c r="T11" s="159"/>
      <c r="U11" s="159"/>
      <c r="V11" s="127"/>
      <c r="W11" s="159"/>
      <c r="X11" s="159"/>
      <c r="Y11" s="159"/>
      <c r="Z11" s="85"/>
      <c r="AA11" s="85"/>
      <c r="AB11" s="85"/>
      <c r="AC11" s="85"/>
      <c r="AD11" s="85"/>
      <c r="AE11" s="85"/>
      <c r="AF11" s="85"/>
      <c r="AG11" s="85"/>
      <c r="AH11" s="85"/>
      <c r="AI11" s="85"/>
      <c r="AJ11" s="85"/>
      <c r="AK11" s="85"/>
      <c r="AL11" s="85"/>
      <c r="AM11" s="95"/>
      <c r="AN11" s="95"/>
      <c r="AO11" s="95"/>
      <c r="AP11" s="95"/>
      <c r="AQ11" s="95"/>
    </row>
    <row r="12" spans="1:44" s="24" customFormat="1" ht="12" customHeight="1" x14ac:dyDescent="0.25">
      <c r="A12" s="254"/>
      <c r="B12" s="65" t="str">
        <f>"    - "&amp;Результаты!H25</f>
        <v xml:space="preserve">    - Ligustica</v>
      </c>
      <c r="C12" s="164">
        <f>Результаты!I25</f>
        <v>0</v>
      </c>
      <c r="D12" s="107"/>
      <c r="E12" s="67"/>
      <c r="F12" s="100"/>
      <c r="G12" s="100"/>
      <c r="H12" s="101"/>
      <c r="I12" s="101"/>
      <c r="J12" s="101"/>
      <c r="K12" s="101"/>
      <c r="L12" s="101"/>
      <c r="M12" s="101"/>
      <c r="N12" s="111"/>
      <c r="O12" s="111"/>
      <c r="P12" s="111"/>
      <c r="Q12" s="80">
        <f>IF(AND(Индексы!B13,Результаты!B14=" ",Результаты!C14=" ",Результаты!D14=" ",Результаты!E14=" "),1,0)</f>
        <v>0</v>
      </c>
      <c r="R12" s="159"/>
      <c r="S12" s="159"/>
      <c r="T12" s="159"/>
      <c r="U12" s="159"/>
      <c r="V12" s="127"/>
      <c r="W12" s="159"/>
      <c r="X12" s="159"/>
      <c r="Y12" s="159"/>
      <c r="Z12" s="85"/>
      <c r="AA12" s="85"/>
      <c r="AB12" s="85"/>
      <c r="AC12" s="85"/>
      <c r="AD12" s="85"/>
      <c r="AE12" s="85"/>
      <c r="AF12" s="85"/>
      <c r="AG12" s="85"/>
      <c r="AH12" s="85"/>
      <c r="AI12" s="85"/>
      <c r="AJ12" s="85"/>
      <c r="AK12" s="85"/>
      <c r="AL12" s="85"/>
      <c r="AM12" s="95"/>
      <c r="AN12" s="95"/>
      <c r="AO12" s="95"/>
      <c r="AP12" s="95"/>
      <c r="AQ12" s="95"/>
    </row>
    <row r="13" spans="1:44" s="24" customFormat="1" ht="12" customHeight="1" x14ac:dyDescent="0.25">
      <c r="A13" s="255"/>
      <c r="B13" s="65" t="str">
        <f>"    - "&amp;Результаты!H26</f>
        <v xml:space="preserve">    - Carnica</v>
      </c>
      <c r="C13" s="164">
        <f>Результаты!I26</f>
        <v>0</v>
      </c>
      <c r="D13" s="107"/>
      <c r="E13" s="67"/>
      <c r="F13" s="100"/>
      <c r="G13" s="100"/>
      <c r="H13" s="101"/>
      <c r="I13" s="101"/>
      <c r="J13" s="101"/>
      <c r="K13" s="101"/>
      <c r="L13" s="101"/>
      <c r="M13" s="101"/>
      <c r="N13" s="111"/>
      <c r="O13" s="111"/>
      <c r="P13" s="111"/>
      <c r="Q13" s="80">
        <f>IF(AND(Индексы!B14,Результаты!B15=" ",Результаты!C15=" ",Результаты!D15=" ",Результаты!E15=" "),1,0)</f>
        <v>0</v>
      </c>
      <c r="R13" s="159"/>
      <c r="S13" s="159"/>
      <c r="T13" s="159"/>
      <c r="U13" s="159"/>
      <c r="V13" s="127"/>
      <c r="W13" s="159"/>
      <c r="X13" s="159"/>
      <c r="Y13" s="159"/>
      <c r="Z13" s="85"/>
      <c r="AA13" s="85"/>
      <c r="AB13" s="85"/>
      <c r="AC13" s="85"/>
      <c r="AD13" s="85"/>
      <c r="AE13" s="85"/>
      <c r="AF13" s="85"/>
      <c r="AG13" s="85"/>
      <c r="AH13" s="85"/>
      <c r="AI13" s="85"/>
      <c r="AJ13" s="85"/>
      <c r="AK13" s="85"/>
      <c r="AL13" s="85"/>
      <c r="AM13" s="95"/>
      <c r="AN13" s="95"/>
      <c r="AO13" s="95"/>
      <c r="AP13" s="95"/>
      <c r="AQ13" s="95"/>
    </row>
    <row r="14" spans="1:44" s="25" customFormat="1" ht="12" customHeight="1" x14ac:dyDescent="0.25">
      <c r="A14" s="61" t="s">
        <v>50</v>
      </c>
      <c r="B14" s="62" t="s">
        <v>57</v>
      </c>
      <c r="C14" s="63" t="str">
        <f>IF(Результаты!K23=MAX(Результаты!K23:K26),Результаты!H23,IF(Результаты!K24=MAX(Результаты!K23:K26),Результаты!H24,IF(Результаты!K25=MAX(Результаты!K23:K26),Результаты!H25,Результаты!H26)))</f>
        <v>Mellifera</v>
      </c>
      <c r="D14" s="106"/>
      <c r="E14" s="63" t="s">
        <v>64</v>
      </c>
      <c r="F14" s="98"/>
      <c r="G14" s="98"/>
      <c r="H14" s="99"/>
      <c r="I14" s="99"/>
      <c r="J14" s="99"/>
      <c r="K14" s="99"/>
      <c r="L14" s="99"/>
      <c r="M14" s="99"/>
      <c r="N14" s="110"/>
      <c r="O14" s="110"/>
      <c r="P14" s="110"/>
      <c r="Q14" s="80">
        <f>IF(AND(Индексы!B15,Результаты!B16=" ",Результаты!C16=" ",Результаты!D16=" ",Результаты!E16=" "),1,0)</f>
        <v>0</v>
      </c>
      <c r="R14" s="110"/>
      <c r="S14" s="110"/>
      <c r="T14" s="110"/>
      <c r="U14" s="110"/>
      <c r="V14" s="126"/>
      <c r="W14" s="110"/>
      <c r="X14" s="110"/>
      <c r="Y14" s="110"/>
      <c r="Z14" s="84"/>
      <c r="AA14" s="84"/>
      <c r="AB14" s="84"/>
      <c r="AC14" s="84"/>
      <c r="AD14" s="84"/>
      <c r="AE14" s="84"/>
      <c r="AF14" s="84"/>
      <c r="AG14" s="84"/>
      <c r="AH14" s="84"/>
      <c r="AI14" s="84"/>
      <c r="AJ14" s="84"/>
      <c r="AK14" s="84"/>
      <c r="AL14" s="84"/>
      <c r="AM14" s="94"/>
      <c r="AN14" s="94"/>
      <c r="AO14" s="94"/>
      <c r="AP14" s="94"/>
      <c r="AQ14" s="94"/>
    </row>
    <row r="15" spans="1:44" s="25" customFormat="1" ht="42.6" customHeight="1" x14ac:dyDescent="0.25">
      <c r="A15" s="61" t="s">
        <v>51</v>
      </c>
      <c r="B15" s="62" t="s">
        <v>58</v>
      </c>
      <c r="C15" s="64">
        <f>ROUND(IF(Результаты!I23=MAX(Результаты!I23:I26),Результаты!K23,IF(Результаты!I24=MAX(Результаты!I23:I26),Результаты!K24,IF(Результаты!I25=MAX(Результаты!I23:I26),Результаты!K25,Результаты!K26))),3)</f>
        <v>0.94599999999999995</v>
      </c>
      <c r="D15" s="106">
        <f>5+ROUNDUP((C15-100%)/10%,0)</f>
        <v>4</v>
      </c>
      <c r="E15" s="63" t="s">
        <v>117</v>
      </c>
      <c r="F15" s="98"/>
      <c r="G15" s="98"/>
      <c r="H15" s="99"/>
      <c r="I15" s="99"/>
      <c r="J15" s="99"/>
      <c r="K15" s="99"/>
      <c r="L15" s="99"/>
      <c r="M15" s="99"/>
      <c r="N15" s="110"/>
      <c r="O15" s="110"/>
      <c r="P15" s="110"/>
      <c r="Q15" s="80">
        <f>IF(AND(Индексы!B16,Результаты!B17=" ",Результаты!C17=" ",Результаты!D17=" ",Результаты!E17=" "),1,0)</f>
        <v>0</v>
      </c>
      <c r="R15" s="110"/>
      <c r="S15" s="110"/>
      <c r="T15" s="110"/>
      <c r="U15" s="110"/>
      <c r="V15" s="126"/>
      <c r="W15" s="110"/>
      <c r="X15" s="110"/>
      <c r="Y15" s="110"/>
      <c r="Z15" s="84"/>
      <c r="AA15" s="84"/>
      <c r="AB15" s="84"/>
      <c r="AC15" s="84"/>
      <c r="AD15" s="84"/>
      <c r="AE15" s="84"/>
      <c r="AF15" s="84"/>
      <c r="AG15" s="84"/>
      <c r="AH15" s="84"/>
      <c r="AI15" s="84"/>
      <c r="AJ15" s="84"/>
      <c r="AK15" s="84"/>
      <c r="AL15" s="84"/>
      <c r="AM15" s="94"/>
      <c r="AN15" s="94"/>
      <c r="AO15" s="94"/>
      <c r="AP15" s="94"/>
      <c r="AQ15" s="94"/>
    </row>
    <row r="16" spans="1:44" s="25" customFormat="1" ht="81.599999999999994" customHeight="1" x14ac:dyDescent="0.25">
      <c r="A16" s="246" t="s">
        <v>52</v>
      </c>
      <c r="B16" s="62" t="s">
        <v>59</v>
      </c>
      <c r="C16" s="63"/>
      <c r="D16" s="106"/>
      <c r="E16" s="68" t="s">
        <v>118</v>
      </c>
      <c r="F16" s="98"/>
      <c r="G16" s="98"/>
      <c r="H16" s="99"/>
      <c r="I16" s="99"/>
      <c r="J16" s="99"/>
      <c r="K16" s="99"/>
      <c r="L16" s="99"/>
      <c r="M16" s="99"/>
      <c r="N16" s="110"/>
      <c r="O16" s="110"/>
      <c r="P16" s="110"/>
      <c r="Q16" s="80">
        <f>IF(AND(Индексы!B17,Результаты!B18=" ",Результаты!C18=" ",Результаты!D18=" ",Результаты!E18=" "),1,0)</f>
        <v>0</v>
      </c>
      <c r="R16" s="110"/>
      <c r="S16" s="110"/>
      <c r="T16" s="110"/>
      <c r="U16" s="110"/>
      <c r="V16" s="126"/>
      <c r="W16" s="110"/>
      <c r="X16" s="110"/>
      <c r="Y16" s="110"/>
      <c r="Z16" s="84"/>
      <c r="AA16" s="84"/>
      <c r="AB16" s="84"/>
      <c r="AC16" s="84"/>
      <c r="AD16" s="84"/>
      <c r="AE16" s="84"/>
      <c r="AF16" s="84"/>
      <c r="AG16" s="84"/>
      <c r="AH16" s="84"/>
      <c r="AI16" s="84"/>
      <c r="AJ16" s="84"/>
      <c r="AK16" s="84"/>
      <c r="AL16" s="84"/>
      <c r="AM16" s="94"/>
      <c r="AN16" s="94"/>
      <c r="AO16" s="94"/>
      <c r="AP16" s="94"/>
      <c r="AQ16" s="94"/>
    </row>
    <row r="17" spans="1:43" s="24" customFormat="1" ht="12" customHeight="1" x14ac:dyDescent="0.25">
      <c r="A17" s="254"/>
      <c r="B17" s="65" t="s">
        <v>45</v>
      </c>
      <c r="C17" s="63" t="str">
        <f>IF(Индексы!B104&lt;12.5%,"идеальная",IF(Индексы!B104&gt;20,"не обеспечена","нормальная"))</f>
        <v>идеальная</v>
      </c>
      <c r="D17" s="108">
        <f>IF(C17="идеальная",2,IF(C17="нормальная",1,0))</f>
        <v>2</v>
      </c>
      <c r="E17" s="70" t="str">
        <f>"Квар = "&amp;Индексы!B104*100&amp;"%"</f>
        <v>Квар = 8,4%</v>
      </c>
      <c r="F17" s="100"/>
      <c r="G17" s="100"/>
      <c r="H17" s="101"/>
      <c r="I17" s="101"/>
      <c r="J17" s="101"/>
      <c r="K17" s="101"/>
      <c r="L17" s="101"/>
      <c r="M17" s="101"/>
      <c r="N17" s="111"/>
      <c r="O17" s="111"/>
      <c r="P17" s="111"/>
      <c r="Q17" s="80">
        <f>IF(AND(Индексы!B18,Результаты!B19=" ",Результаты!C19=" ",Результаты!D19=" ",Результаты!E19=" "),1,0)</f>
        <v>0</v>
      </c>
      <c r="R17" s="128"/>
      <c r="S17" s="162"/>
      <c r="T17" s="162"/>
      <c r="U17" s="162"/>
      <c r="V17" s="129"/>
      <c r="W17" s="159"/>
      <c r="X17" s="159"/>
      <c r="Y17" s="159"/>
      <c r="Z17" s="85"/>
      <c r="AA17" s="85"/>
      <c r="AB17" s="85"/>
      <c r="AC17" s="85"/>
      <c r="AD17" s="85"/>
      <c r="AE17" s="85"/>
      <c r="AF17" s="85"/>
      <c r="AG17" s="85"/>
      <c r="AH17" s="85"/>
      <c r="AI17" s="85"/>
      <c r="AJ17" s="85"/>
      <c r="AK17" s="85"/>
      <c r="AL17" s="85"/>
      <c r="AM17" s="95"/>
      <c r="AN17" s="95"/>
      <c r="AO17" s="95"/>
      <c r="AP17" s="95"/>
      <c r="AQ17" s="95"/>
    </row>
    <row r="18" spans="1:43" s="24" customFormat="1" ht="24" customHeight="1" x14ac:dyDescent="0.25">
      <c r="A18" s="254"/>
      <c r="B18" s="65" t="s">
        <v>46</v>
      </c>
      <c r="C18" s="63"/>
      <c r="D18" s="108"/>
      <c r="E18" s="69" t="str">
        <f>"Квар = "&amp;Индексы!C104*100&amp;"%"&amp;". Не анализируется, т.к. МО может быть близко к нулю"</f>
        <v>Квар = 28,8%. Не анализируется, т.к. МО может быть близко к нулю</v>
      </c>
      <c r="F18" s="100"/>
      <c r="G18" s="100"/>
      <c r="H18" s="101"/>
      <c r="I18" s="101"/>
      <c r="J18" s="101"/>
      <c r="K18" s="101"/>
      <c r="L18" s="101"/>
      <c r="M18" s="101"/>
      <c r="N18" s="111"/>
      <c r="O18" s="111"/>
      <c r="P18" s="111"/>
      <c r="Q18" s="80">
        <f>IF(AND(Индексы!B19,Результаты!B20=" ",Результаты!C20=" ",Результаты!D20=" ",Результаты!E20=" "),1,0)</f>
        <v>0</v>
      </c>
      <c r="R18" s="162"/>
      <c r="S18" s="162"/>
      <c r="T18" s="162"/>
      <c r="U18" s="162"/>
      <c r="V18" s="129"/>
      <c r="W18" s="159"/>
      <c r="X18" s="159"/>
      <c r="Y18" s="159"/>
      <c r="Z18" s="85"/>
      <c r="AA18" s="85"/>
      <c r="AB18" s="85"/>
      <c r="AC18" s="85"/>
      <c r="AD18" s="85"/>
      <c r="AE18" s="85"/>
      <c r="AF18" s="85"/>
      <c r="AG18" s="85"/>
      <c r="AH18" s="85"/>
      <c r="AI18" s="85"/>
      <c r="AJ18" s="85"/>
      <c r="AK18" s="85"/>
      <c r="AL18" s="85"/>
      <c r="AM18" s="95"/>
      <c r="AN18" s="95"/>
      <c r="AO18" s="95"/>
      <c r="AP18" s="95"/>
      <c r="AQ18" s="95"/>
    </row>
    <row r="19" spans="1:43" s="24" customFormat="1" ht="12" customHeight="1" x14ac:dyDescent="0.25">
      <c r="A19" s="255"/>
      <c r="B19" s="65" t="s">
        <v>47</v>
      </c>
      <c r="C19" s="63" t="str">
        <f>IF(Индексы!D104&lt;6.5%,"идеальная",IF(Индексы!D104&gt;7.5%,"не обеспечена","нормальная"))</f>
        <v>идеальная</v>
      </c>
      <c r="D19" s="108">
        <f>IF(C19="идеальная",2,IF(C19="нормальная",1,0))</f>
        <v>2</v>
      </c>
      <c r="E19" s="69" t="str">
        <f>"Квар = "&amp;Индексы!D104*100&amp;"%"</f>
        <v>Квар = 5,5%</v>
      </c>
      <c r="F19" s="100"/>
      <c r="G19" s="100"/>
      <c r="H19" s="101"/>
      <c r="I19" s="101"/>
      <c r="J19" s="101"/>
      <c r="K19" s="101"/>
      <c r="L19" s="101"/>
      <c r="M19" s="101"/>
      <c r="N19" s="111"/>
      <c r="O19" s="111"/>
      <c r="P19" s="111"/>
      <c r="Q19" s="80">
        <f>IF(AND(Индексы!B20,Результаты!B21=" ",Результаты!C21=" ",Результаты!D21=" ",Результаты!E21=" "),1,0)</f>
        <v>0</v>
      </c>
      <c r="R19" s="162"/>
      <c r="S19" s="162"/>
      <c r="T19" s="162"/>
      <c r="U19" s="162"/>
      <c r="V19" s="129"/>
      <c r="W19" s="159"/>
      <c r="X19" s="159"/>
      <c r="Y19" s="159"/>
      <c r="Z19" s="85"/>
      <c r="AA19" s="85"/>
      <c r="AB19" s="85"/>
      <c r="AC19" s="85"/>
      <c r="AD19" s="85"/>
      <c r="AE19" s="85"/>
      <c r="AF19" s="85"/>
      <c r="AG19" s="85"/>
      <c r="AH19" s="85"/>
      <c r="AI19" s="85"/>
      <c r="AJ19" s="85"/>
      <c r="AK19" s="85"/>
      <c r="AL19" s="85"/>
      <c r="AM19" s="95"/>
      <c r="AN19" s="95"/>
      <c r="AO19" s="95"/>
      <c r="AP19" s="95"/>
      <c r="AQ19" s="95"/>
    </row>
    <row r="20" spans="1:43" s="25" customFormat="1" ht="85.8" customHeight="1" x14ac:dyDescent="0.25">
      <c r="A20" s="246" t="s">
        <v>53</v>
      </c>
      <c r="B20" s="62" t="s">
        <v>119</v>
      </c>
      <c r="C20" s="63"/>
      <c r="D20" s="69"/>
      <c r="E20" s="71" t="s">
        <v>120</v>
      </c>
      <c r="F20" s="98"/>
      <c r="G20" s="98"/>
      <c r="H20" s="99"/>
      <c r="I20" s="99"/>
      <c r="J20" s="99"/>
      <c r="K20" s="99"/>
      <c r="L20" s="99"/>
      <c r="M20" s="99"/>
      <c r="N20" s="110"/>
      <c r="O20" s="110"/>
      <c r="P20" s="110"/>
      <c r="Q20" s="80">
        <f>IF(AND(Индексы!B21,Результаты!B22=" ",Результаты!C22=" ",Результаты!D22=" ",Результаты!E22=" "),1,0)</f>
        <v>0</v>
      </c>
      <c r="R20" s="244" t="s">
        <v>111</v>
      </c>
      <c r="S20" s="245"/>
      <c r="T20" s="245"/>
      <c r="U20" s="245"/>
      <c r="V20" s="245"/>
      <c r="W20" s="245"/>
      <c r="X20" s="110"/>
      <c r="Y20" s="110"/>
      <c r="Z20" s="84"/>
      <c r="AA20" s="84"/>
      <c r="AB20" s="84"/>
      <c r="AC20" s="84"/>
      <c r="AD20" s="84"/>
      <c r="AE20" s="84"/>
      <c r="AF20" s="84"/>
      <c r="AG20" s="84"/>
      <c r="AH20" s="84"/>
      <c r="AI20" s="84"/>
      <c r="AJ20" s="84"/>
      <c r="AK20" s="84"/>
      <c r="AL20" s="84"/>
      <c r="AM20" s="94"/>
      <c r="AN20" s="94"/>
      <c r="AO20" s="94"/>
      <c r="AP20" s="94"/>
      <c r="AQ20" s="94"/>
    </row>
    <row r="21" spans="1:43" s="25" customFormat="1" ht="12" customHeight="1" x14ac:dyDescent="0.25">
      <c r="A21" s="247"/>
      <c r="B21" s="65" t="s">
        <v>45</v>
      </c>
      <c r="C21" s="63" t="str">
        <f ca="1">OFFSET(Q29,0,R25+IF(R25&gt;2,1,0)+IF(R25&gt;3,1,0))</f>
        <v>Отсутствует</v>
      </c>
      <c r="D21" s="108">
        <f ca="1">IF(C21="Отсутствует",3,IF(C21="Несущественная",2,IF(C21="В допустимых пределах",1,0)))</f>
        <v>3</v>
      </c>
      <c r="E21" s="71"/>
      <c r="F21" s="98"/>
      <c r="G21" s="98"/>
      <c r="H21" s="99"/>
      <c r="I21" s="99"/>
      <c r="J21" s="99"/>
      <c r="K21" s="99"/>
      <c r="L21" s="99"/>
      <c r="M21" s="99"/>
      <c r="N21" s="110"/>
      <c r="O21" s="110"/>
      <c r="P21" s="110"/>
      <c r="Q21" s="80"/>
      <c r="R21" s="160"/>
      <c r="S21" s="161"/>
      <c r="T21" s="161"/>
      <c r="U21" s="161"/>
      <c r="V21" s="161"/>
      <c r="W21" s="161"/>
      <c r="X21" s="110"/>
      <c r="Y21" s="110"/>
      <c r="Z21" s="84"/>
      <c r="AA21" s="84"/>
      <c r="AB21" s="84"/>
      <c r="AC21" s="84"/>
      <c r="AD21" s="84"/>
      <c r="AE21" s="84"/>
      <c r="AF21" s="84"/>
      <c r="AG21" s="84"/>
      <c r="AH21" s="84"/>
      <c r="AI21" s="84"/>
      <c r="AJ21" s="84"/>
      <c r="AK21" s="84"/>
      <c r="AL21" s="84"/>
      <c r="AM21" s="94"/>
      <c r="AN21" s="94"/>
      <c r="AO21" s="94"/>
      <c r="AP21" s="94"/>
      <c r="AQ21" s="94"/>
    </row>
    <row r="22" spans="1:43" s="25" customFormat="1" ht="12" customHeight="1" x14ac:dyDescent="0.25">
      <c r="A22" s="247"/>
      <c r="B22" s="65" t="s">
        <v>46</v>
      </c>
      <c r="C22" s="63" t="str">
        <f ca="1">OFFSET(Q41,0,R25+IF(R25&gt;2,1,0)+IF(R25&gt;3,1,0))</f>
        <v>Отсутствует</v>
      </c>
      <c r="D22" s="108">
        <f ca="1">IF(C22="Отсутствует",3,IF(C22="Несущественная",2,IF(C22="В допустимых пределах",1,0)))</f>
        <v>3</v>
      </c>
      <c r="E22" s="71"/>
      <c r="F22" s="98"/>
      <c r="G22" s="98"/>
      <c r="H22" s="99"/>
      <c r="I22" s="99"/>
      <c r="J22" s="99"/>
      <c r="K22" s="99"/>
      <c r="L22" s="99"/>
      <c r="M22" s="99"/>
      <c r="N22" s="110"/>
      <c r="O22" s="110"/>
      <c r="P22" s="110"/>
      <c r="Q22" s="80"/>
      <c r="R22" s="160"/>
      <c r="S22" s="161"/>
      <c r="T22" s="161"/>
      <c r="U22" s="161"/>
      <c r="V22" s="161"/>
      <c r="W22" s="161"/>
      <c r="X22" s="110"/>
      <c r="Y22" s="110"/>
      <c r="Z22" s="84"/>
      <c r="AA22" s="84"/>
      <c r="AB22" s="84"/>
      <c r="AC22" s="84"/>
      <c r="AD22" s="84"/>
      <c r="AE22" s="84"/>
      <c r="AF22" s="84"/>
      <c r="AG22" s="84"/>
      <c r="AH22" s="84"/>
      <c r="AI22" s="84"/>
      <c r="AJ22" s="84"/>
      <c r="AK22" s="84"/>
      <c r="AL22" s="84"/>
      <c r="AM22" s="94"/>
      <c r="AN22" s="94"/>
      <c r="AO22" s="94"/>
      <c r="AP22" s="94"/>
      <c r="AQ22" s="94"/>
    </row>
    <row r="23" spans="1:43" s="25" customFormat="1" ht="12" customHeight="1" x14ac:dyDescent="0.25">
      <c r="A23" s="248"/>
      <c r="B23" s="65" t="s">
        <v>47</v>
      </c>
      <c r="C23" s="63" t="str">
        <f ca="1">OFFSET(Q53,0,R25+IF(R25&gt;2,1,0)+IF(R25&gt;3,1,0))</f>
        <v>Отсутствует</v>
      </c>
      <c r="D23" s="108">
        <f ca="1">IF(C23="Отсутствует",3,IF(C23="Несущественная",2,IF(C23="В допустимых пределах",1,0)))</f>
        <v>3</v>
      </c>
      <c r="E23" s="71"/>
      <c r="F23" s="98"/>
      <c r="G23" s="98"/>
      <c r="H23" s="99"/>
      <c r="I23" s="99"/>
      <c r="J23" s="99"/>
      <c r="K23" s="99"/>
      <c r="L23" s="99"/>
      <c r="M23" s="99"/>
      <c r="N23" s="110"/>
      <c r="O23" s="110"/>
      <c r="P23" s="110"/>
      <c r="Q23" s="80"/>
      <c r="R23" s="160"/>
      <c r="S23" s="161"/>
      <c r="T23" s="161"/>
      <c r="U23" s="161"/>
      <c r="V23" s="161"/>
      <c r="W23" s="161"/>
      <c r="X23" s="110"/>
      <c r="Y23" s="110"/>
      <c r="Z23" s="84"/>
      <c r="AA23" s="84"/>
      <c r="AB23" s="84"/>
      <c r="AC23" s="84"/>
      <c r="AD23" s="84"/>
      <c r="AE23" s="84"/>
      <c r="AF23" s="84"/>
      <c r="AG23" s="84"/>
      <c r="AH23" s="84"/>
      <c r="AI23" s="84"/>
      <c r="AJ23" s="84"/>
      <c r="AK23" s="84"/>
      <c r="AL23" s="84"/>
      <c r="AM23" s="94"/>
      <c r="AN23" s="94"/>
      <c r="AO23" s="94"/>
      <c r="AP23" s="94"/>
      <c r="AQ23" s="94"/>
    </row>
    <row r="24" spans="1:43" s="25" customFormat="1" ht="12" customHeight="1" x14ac:dyDescent="0.25">
      <c r="A24" s="165">
        <v>9</v>
      </c>
      <c r="B24" s="62" t="s">
        <v>115</v>
      </c>
      <c r="C24" s="63"/>
      <c r="D24" s="109">
        <f ca="1">SUM(D4:D23)</f>
        <v>17</v>
      </c>
      <c r="E24" s="63" t="s">
        <v>122</v>
      </c>
      <c r="F24" s="98"/>
      <c r="G24" s="98"/>
      <c r="H24" s="99"/>
      <c r="I24" s="99"/>
      <c r="J24" s="99"/>
      <c r="K24" s="99"/>
      <c r="L24" s="99"/>
      <c r="M24" s="99"/>
      <c r="N24" s="110"/>
      <c r="O24" s="110"/>
      <c r="P24" s="110"/>
      <c r="Q24" s="80"/>
      <c r="R24" s="160"/>
      <c r="S24" s="161"/>
      <c r="T24" s="161"/>
      <c r="U24" s="161"/>
      <c r="V24" s="161"/>
      <c r="W24" s="161"/>
      <c r="X24" s="110"/>
      <c r="Y24" s="110"/>
      <c r="Z24" s="84"/>
      <c r="AA24" s="84"/>
      <c r="AB24" s="84"/>
      <c r="AC24" s="84"/>
      <c r="AD24" s="84"/>
      <c r="AE24" s="84"/>
      <c r="AF24" s="84"/>
      <c r="AG24" s="84"/>
      <c r="AH24" s="84"/>
      <c r="AI24" s="84"/>
      <c r="AJ24" s="84"/>
      <c r="AK24" s="84"/>
      <c r="AL24" s="84"/>
      <c r="AM24" s="94"/>
      <c r="AN24" s="94"/>
      <c r="AO24" s="94"/>
      <c r="AP24" s="94"/>
      <c r="AQ24" s="94"/>
    </row>
    <row r="25" spans="1:43" s="25" customFormat="1" ht="12" customHeight="1" x14ac:dyDescent="0.25">
      <c r="A25" s="246" t="s">
        <v>121</v>
      </c>
      <c r="B25" s="62" t="s">
        <v>60</v>
      </c>
      <c r="C25" s="164"/>
      <c r="D25" s="107"/>
      <c r="E25" s="63"/>
      <c r="F25" s="98"/>
      <c r="G25" s="98"/>
      <c r="H25" s="99"/>
      <c r="I25" s="99"/>
      <c r="J25" s="99"/>
      <c r="K25" s="99"/>
      <c r="L25" s="99"/>
      <c r="M25" s="99"/>
      <c r="N25" s="110"/>
      <c r="O25" s="110"/>
      <c r="P25" s="110"/>
      <c r="Q25" s="80">
        <f>IF(AND(Индексы!B22,Результаты!B23=" ",Результаты!C23=" ",Результаты!D23=" ",Результаты!E23=" "),1,0)</f>
        <v>0</v>
      </c>
      <c r="R25" s="130">
        <f>MATCH(C14,Результаты!H23:H26,0)</f>
        <v>1</v>
      </c>
      <c r="S25" s="131" t="s">
        <v>79</v>
      </c>
      <c r="T25" s="110"/>
      <c r="U25" s="110"/>
      <c r="V25" s="126"/>
      <c r="W25" s="110"/>
      <c r="X25" s="110"/>
      <c r="Y25" s="110"/>
      <c r="Z25" s="84"/>
      <c r="AA25" s="84"/>
      <c r="AB25" s="84"/>
      <c r="AC25" s="84"/>
      <c r="AD25" s="84"/>
      <c r="AE25" s="84"/>
      <c r="AF25" s="84"/>
      <c r="AG25" s="84"/>
      <c r="AH25" s="84"/>
      <c r="AI25" s="84"/>
      <c r="AJ25" s="84"/>
      <c r="AK25" s="84"/>
      <c r="AL25" s="84"/>
      <c r="AM25" s="94"/>
      <c r="AN25" s="94"/>
      <c r="AO25" s="94"/>
      <c r="AP25" s="94"/>
      <c r="AQ25" s="94"/>
    </row>
    <row r="26" spans="1:43" s="24" customFormat="1" ht="12" customHeight="1" x14ac:dyDescent="0.25">
      <c r="A26" s="254"/>
      <c r="B26" s="62" t="s">
        <v>61</v>
      </c>
      <c r="C26" s="63" t="str">
        <f ca="1">IF(D24&gt;=17,"пригодна","не пригодна")</f>
        <v>пригодна</v>
      </c>
      <c r="D26" s="108"/>
      <c r="E26" s="63" t="s">
        <v>123</v>
      </c>
      <c r="F26" s="102"/>
      <c r="G26" s="100"/>
      <c r="H26" s="101"/>
      <c r="I26" s="101"/>
      <c r="J26" s="101"/>
      <c r="K26" s="101"/>
      <c r="L26" s="101"/>
      <c r="M26" s="101"/>
      <c r="N26" s="111"/>
      <c r="O26" s="111"/>
      <c r="P26" s="111"/>
      <c r="Q26" s="80">
        <f>IF(AND(Индексы!B23,Результаты!B24=" ",Результаты!C24=" ",Результаты!D24=" ",Результаты!E24=" "),1,0)</f>
        <v>0</v>
      </c>
      <c r="R26" s="162" t="s">
        <v>75</v>
      </c>
      <c r="S26" s="249" t="s">
        <v>76</v>
      </c>
      <c r="T26" s="250"/>
      <c r="U26" s="249" t="s">
        <v>77</v>
      </c>
      <c r="V26" s="250"/>
      <c r="W26" s="162" t="s">
        <v>78</v>
      </c>
      <c r="X26" s="159"/>
      <c r="Y26" s="159"/>
      <c r="Z26" s="85"/>
      <c r="AA26" s="85"/>
      <c r="AB26" s="85"/>
      <c r="AC26" s="85"/>
      <c r="AD26" s="85"/>
      <c r="AE26" s="85"/>
      <c r="AF26" s="85"/>
      <c r="AG26" s="85"/>
      <c r="AH26" s="85"/>
      <c r="AI26" s="85"/>
      <c r="AJ26" s="85"/>
      <c r="AK26" s="85"/>
      <c r="AL26" s="85"/>
      <c r="AM26" s="95"/>
      <c r="AN26" s="95"/>
      <c r="AO26" s="95"/>
      <c r="AP26" s="95"/>
      <c r="AQ26" s="95"/>
    </row>
    <row r="27" spans="1:43" s="24" customFormat="1" ht="30.6" customHeight="1" x14ac:dyDescent="0.25">
      <c r="A27" s="254"/>
      <c r="B27" s="62" t="s">
        <v>43</v>
      </c>
      <c r="C27" s="63" t="str">
        <f ca="1">IF(D24&gt;=15,"пригодна","не пригодна")</f>
        <v>пригодна</v>
      </c>
      <c r="D27" s="108"/>
      <c r="E27" s="63" t="s">
        <v>124</v>
      </c>
      <c r="F27" s="102"/>
      <c r="G27" s="100"/>
      <c r="H27" s="101"/>
      <c r="I27" s="101"/>
      <c r="J27" s="101"/>
      <c r="K27" s="101"/>
      <c r="L27" s="101"/>
      <c r="M27" s="101"/>
      <c r="N27" s="111"/>
      <c r="O27" s="111"/>
      <c r="P27" s="111"/>
      <c r="Q27" s="80">
        <f>IF(AND(Индексы!B24,Результаты!B25=" ",Результаты!C25=" ",Результаты!D25=" ",Результаты!E25=" "),1,0)</f>
        <v>0</v>
      </c>
      <c r="R27" s="162">
        <f ca="1">R34/ROUND(COUNTIF(Индексы!$B$2:$B$101,"&gt;0"),3)*100</f>
        <v>0</v>
      </c>
      <c r="S27" s="162">
        <f ca="1">(S34+T34)/ROUND(COUNTIF(Индексы!$B$2:$B$101,"&gt;0"),3)*100</f>
        <v>76.666666666666671</v>
      </c>
      <c r="T27" s="162"/>
      <c r="U27" s="129">
        <f ca="1">(U34+V34)/ROUND(COUNTIF(Индексы!$B$2:$B$101,"&gt;0"),3)*100</f>
        <v>96.666666666666671</v>
      </c>
      <c r="V27" s="129"/>
      <c r="W27" s="162">
        <f ca="1">W34/ROUND(COUNTIF(Индексы!$B$2:$B$101,"&gt;0"),3)*100</f>
        <v>100</v>
      </c>
      <c r="X27" s="132" t="s">
        <v>80</v>
      </c>
      <c r="Y27" s="159"/>
      <c r="Z27" s="85"/>
      <c r="AA27" s="85"/>
      <c r="AB27" s="85"/>
      <c r="AC27" s="85"/>
      <c r="AD27" s="85"/>
      <c r="AE27" s="85"/>
      <c r="AF27" s="85"/>
      <c r="AG27" s="85"/>
      <c r="AH27" s="85"/>
      <c r="AI27" s="85"/>
      <c r="AJ27" s="85"/>
      <c r="AK27" s="85"/>
      <c r="AL27" s="85"/>
      <c r="AM27" s="95"/>
      <c r="AN27" s="95"/>
      <c r="AO27" s="95"/>
      <c r="AP27" s="95"/>
      <c r="AQ27" s="95"/>
    </row>
    <row r="28" spans="1:43" s="24" customFormat="1" ht="12" customHeight="1" x14ac:dyDescent="0.25">
      <c r="A28" s="254"/>
      <c r="B28" s="62" t="s">
        <v>42</v>
      </c>
      <c r="C28" s="63" t="str">
        <f ca="1">IF(D24&gt;=10,"пригодна","не пригодна")</f>
        <v>пригодна</v>
      </c>
      <c r="D28" s="108"/>
      <c r="E28" s="63" t="s">
        <v>126</v>
      </c>
      <c r="F28" s="102"/>
      <c r="G28" s="100"/>
      <c r="H28" s="101"/>
      <c r="I28" s="101"/>
      <c r="J28" s="101"/>
      <c r="K28" s="101"/>
      <c r="L28" s="101"/>
      <c r="M28" s="101"/>
      <c r="N28" s="111"/>
      <c r="O28" s="111"/>
      <c r="P28" s="111"/>
      <c r="Q28" s="80">
        <f>IF(AND(Индексы!B25,Результаты!B26=" ",Результаты!C26=" ",Результаты!D26=" ",Результаты!E26=" "),1,0)</f>
        <v>0</v>
      </c>
      <c r="R28" s="162">
        <f ca="1">R35/ROUND(COUNTIF(Индексы!$B$2:$B$101,"&gt;0"),3)*100</f>
        <v>0</v>
      </c>
      <c r="S28" s="162">
        <f ca="1">(S35+T35)/ROUND(COUNTIF(Индексы!$B$2:$B$101,"&gt;0"),3)*100</f>
        <v>23.333333333333332</v>
      </c>
      <c r="T28" s="162"/>
      <c r="U28" s="129">
        <f ca="1">(U35+V35)/ROUND(COUNTIF(Индексы!$B$2:$B$101,"&gt;0"),3)*100</f>
        <v>3.3333333333333335</v>
      </c>
      <c r="V28" s="129"/>
      <c r="W28" s="162">
        <f ca="1">W35/ROUND(COUNTIF(Индексы!$B$2:$B$101,"&gt;0"),3)*100</f>
        <v>0</v>
      </c>
      <c r="X28" s="133" t="s">
        <v>81</v>
      </c>
      <c r="Y28" s="159"/>
      <c r="Z28" s="85"/>
      <c r="AA28" s="85"/>
      <c r="AB28" s="85"/>
      <c r="AC28" s="85"/>
      <c r="AD28" s="85"/>
      <c r="AE28" s="85"/>
      <c r="AF28" s="85"/>
      <c r="AG28" s="85"/>
      <c r="AH28" s="85"/>
      <c r="AI28" s="85"/>
      <c r="AJ28" s="85"/>
      <c r="AK28" s="85"/>
      <c r="AL28" s="85"/>
      <c r="AM28" s="95"/>
      <c r="AN28" s="95"/>
      <c r="AO28" s="95"/>
      <c r="AP28" s="95"/>
      <c r="AQ28" s="95"/>
    </row>
    <row r="29" spans="1:43" s="24" customFormat="1" ht="12" customHeight="1" x14ac:dyDescent="0.25">
      <c r="A29" s="255"/>
      <c r="B29" s="62" t="s">
        <v>44</v>
      </c>
      <c r="C29" s="63" t="str">
        <f ca="1">IF(D24&gt;=5,"пригодна","не пригодна")</f>
        <v>пригодна</v>
      </c>
      <c r="D29" s="108"/>
      <c r="E29" s="63" t="s">
        <v>125</v>
      </c>
      <c r="F29" s="102"/>
      <c r="G29" s="100"/>
      <c r="H29" s="101"/>
      <c r="I29" s="101"/>
      <c r="J29" s="101"/>
      <c r="K29" s="101"/>
      <c r="L29" s="101"/>
      <c r="M29" s="101"/>
      <c r="N29" s="111"/>
      <c r="O29" s="111"/>
      <c r="P29" s="111"/>
      <c r="Q29" s="80">
        <f>IF(AND(Индексы!B26,Результаты!B27=" ",Результаты!C27=" ",Результаты!D27=" ",Результаты!E27=" "),1,0)</f>
        <v>0</v>
      </c>
      <c r="R29" s="134" t="str">
        <f ca="1">IF(OR(R27&gt;2,R28&gt;15),"Гибрид",IF(OR(R27&gt;2*0.5,R28&gt;15*0.5),"В допустимых пределах",IF(OR(R27&gt;0,R28&gt;0),"Несущественная","Отсутствует")))</f>
        <v>Отсутствует</v>
      </c>
      <c r="S29" s="134" t="str">
        <f ca="1">IF(OR(S27&gt;2,S28&gt;15),"Гибрид",IF(OR(S27&gt;2*0.5,S28&gt;15*0.5),"В допустимых пределах",IF(OR(S27&gt;0,S28&gt;0),"Несущественная","Отсутствует")))</f>
        <v>Гибрид</v>
      </c>
      <c r="T29" s="134"/>
      <c r="U29" s="134" t="str">
        <f ca="1">IF(OR(U27&gt;2,U28&gt;15),"Гибрид",IF(OR(U27&gt;2*0.5,U28&gt;15*0.5),"В допустимых пределах",IF(OR(U27&gt;0,U28&gt;0),"Несущественная","Отсутствует")))</f>
        <v>Гибрид</v>
      </c>
      <c r="V29" s="134"/>
      <c r="W29" s="134" t="str">
        <f ca="1">IF(OR(W27&gt;2,W28&gt;15),"Гибрид",IF(OR(W27&gt;2*0.5,W28&gt;15*0.5),"В допустимых пределах",IF(OR(W27&gt;0,W28&gt;0),"Несущественная","Отсутствует")))</f>
        <v>Гибрид</v>
      </c>
      <c r="X29" s="159"/>
      <c r="Y29" s="159"/>
      <c r="Z29" s="85"/>
      <c r="AA29" s="85"/>
      <c r="AB29" s="85"/>
      <c r="AC29" s="85"/>
      <c r="AD29" s="85"/>
      <c r="AE29" s="85"/>
      <c r="AF29" s="85"/>
      <c r="AG29" s="85"/>
      <c r="AH29" s="85"/>
      <c r="AI29" s="85"/>
      <c r="AJ29" s="85"/>
      <c r="AK29" s="85"/>
      <c r="AL29" s="85"/>
      <c r="AM29" s="95"/>
      <c r="AN29" s="95"/>
      <c r="AO29" s="95"/>
      <c r="AP29" s="95"/>
      <c r="AQ29" s="95"/>
    </row>
    <row r="30" spans="1:43" s="19" customFormat="1" ht="99.6" customHeight="1" x14ac:dyDescent="0.25">
      <c r="A30" s="251" t="s">
        <v>62</v>
      </c>
      <c r="B30" s="251"/>
      <c r="C30" s="251"/>
      <c r="D30" s="251"/>
      <c r="E30" s="251"/>
      <c r="F30" s="96"/>
      <c r="G30" s="96"/>
      <c r="H30" s="97"/>
      <c r="I30" s="97"/>
      <c r="J30" s="97"/>
      <c r="K30" s="97"/>
      <c r="L30" s="97"/>
      <c r="M30" s="97"/>
      <c r="N30" s="79"/>
      <c r="O30" s="79"/>
      <c r="P30" s="79"/>
      <c r="Q30" s="80">
        <f>IF(AND(Индексы!B27,Результаты!B28=" ",Результаты!C28=" ",Результаты!D28=" ",Результаты!E28=" "),1,0)</f>
        <v>0</v>
      </c>
      <c r="R30" s="135">
        <f>MATCH(Породы!D4,Графики!$B$1:$B$30,1)-1</f>
        <v>16</v>
      </c>
      <c r="S30" s="136">
        <f>MATCH(Породы!D5,Графики!$B$1:$B$30,1)</f>
        <v>20</v>
      </c>
      <c r="T30" s="136"/>
      <c r="U30" s="136">
        <f>MATCH(Породы!D6,Графики!$B$1:$B$30,1)</f>
        <v>22</v>
      </c>
      <c r="V30" s="137"/>
      <c r="W30" s="136">
        <f>MATCH(Породы!D7,Графики!$B$1:$B$30,1)</f>
        <v>27</v>
      </c>
      <c r="X30" s="132" t="s">
        <v>95</v>
      </c>
      <c r="Y30" s="79"/>
      <c r="Z30" s="83"/>
      <c r="AA30" s="83"/>
      <c r="AB30" s="83"/>
      <c r="AC30" s="83"/>
      <c r="AD30" s="83"/>
      <c r="AE30" s="83"/>
      <c r="AF30" s="83"/>
      <c r="AG30" s="83"/>
      <c r="AH30" s="83"/>
      <c r="AI30" s="83"/>
      <c r="AJ30" s="83"/>
      <c r="AK30" s="83"/>
      <c r="AL30" s="83"/>
      <c r="AM30" s="93"/>
      <c r="AN30" s="93"/>
      <c r="AO30" s="93"/>
      <c r="AP30" s="93"/>
      <c r="AQ30" s="93"/>
    </row>
    <row r="31" spans="1:43" s="19" customFormat="1" x14ac:dyDescent="0.25">
      <c r="B31" s="23"/>
      <c r="C31" s="20"/>
      <c r="D31" s="20"/>
      <c r="E31" s="20"/>
      <c r="F31" s="96"/>
      <c r="G31" s="96"/>
      <c r="H31" s="97"/>
      <c r="I31" s="97"/>
      <c r="J31" s="97"/>
      <c r="K31" s="97"/>
      <c r="L31" s="97"/>
      <c r="M31" s="97"/>
      <c r="N31" s="79"/>
      <c r="O31" s="79"/>
      <c r="P31" s="79"/>
      <c r="Q31" s="80">
        <f>IF(AND(Индексы!B28,Результаты!B29=" ",Результаты!C29=" ",Результаты!D29=" ",Результаты!E29=" "),1,0)</f>
        <v>0</v>
      </c>
      <c r="R31" s="135"/>
      <c r="S31" s="136"/>
      <c r="T31" s="136"/>
      <c r="U31" s="136"/>
      <c r="V31" s="137"/>
      <c r="W31" s="136"/>
      <c r="X31" s="79"/>
      <c r="Y31" s="79"/>
      <c r="Z31" s="83"/>
      <c r="AA31" s="83"/>
      <c r="AB31" s="83"/>
      <c r="AC31" s="83"/>
      <c r="AD31" s="83"/>
      <c r="AE31" s="83"/>
      <c r="AF31" s="83"/>
      <c r="AG31" s="83"/>
      <c r="AH31" s="83"/>
      <c r="AI31" s="83"/>
      <c r="AJ31" s="83"/>
      <c r="AK31" s="83"/>
      <c r="AL31" s="83"/>
      <c r="AM31" s="93"/>
      <c r="AN31" s="93"/>
      <c r="AO31" s="93"/>
      <c r="AP31" s="93"/>
      <c r="AQ31" s="93"/>
    </row>
    <row r="32" spans="1:43" s="19" customFormat="1" x14ac:dyDescent="0.25">
      <c r="B32" s="21"/>
      <c r="C32" s="20"/>
      <c r="D32" s="20"/>
      <c r="E32" s="20"/>
      <c r="F32" s="96"/>
      <c r="G32" s="96"/>
      <c r="H32" s="97"/>
      <c r="I32" s="97"/>
      <c r="J32" s="97"/>
      <c r="K32" s="97"/>
      <c r="L32" s="97"/>
      <c r="M32" s="97"/>
      <c r="N32" s="79"/>
      <c r="O32" s="79"/>
      <c r="P32" s="79"/>
      <c r="Q32" s="80">
        <f>IF(AND(Индексы!B29,Результаты!B30=" ",Результаты!C30=" ",Результаты!D30=" ",Результаты!E30=" "),1,0)</f>
        <v>0</v>
      </c>
      <c r="R32" s="135">
        <f>MATCH(Породы!C4,Графики!$B$1:$B$30,1)-1</f>
        <v>1</v>
      </c>
      <c r="S32" s="138">
        <f>MATCH(Породы!C5,Графики!$B$1:$B$30,1)-1</f>
        <v>13</v>
      </c>
      <c r="T32" s="136"/>
      <c r="U32" s="138">
        <f>MATCH(Породы!C6,Графики!$B$1:$B$30,1)-1</f>
        <v>15</v>
      </c>
      <c r="V32" s="137"/>
      <c r="W32" s="136">
        <f>MATCH(Породы!C7,Графики!$B$1:$B$30,1)</f>
        <v>17</v>
      </c>
      <c r="X32" s="133" t="s">
        <v>96</v>
      </c>
      <c r="Y32" s="79"/>
      <c r="Z32" s="83"/>
      <c r="AA32" s="83"/>
      <c r="AB32" s="83"/>
      <c r="AC32" s="83"/>
      <c r="AD32" s="83"/>
      <c r="AE32" s="83"/>
      <c r="AF32" s="83"/>
      <c r="AG32" s="83"/>
      <c r="AH32" s="83"/>
      <c r="AI32" s="83"/>
      <c r="AJ32" s="83"/>
      <c r="AK32" s="83"/>
      <c r="AL32" s="83"/>
      <c r="AM32" s="93"/>
      <c r="AN32" s="93"/>
      <c r="AO32" s="93"/>
      <c r="AP32" s="93"/>
      <c r="AQ32" s="93"/>
    </row>
    <row r="33" spans="2:43" s="19" customFormat="1" x14ac:dyDescent="0.25">
      <c r="B33" s="21"/>
      <c r="C33" s="20"/>
      <c r="D33" s="20"/>
      <c r="E33" s="20"/>
      <c r="F33" s="96"/>
      <c r="G33" s="96"/>
      <c r="H33" s="97"/>
      <c r="I33" s="97"/>
      <c r="J33" s="97"/>
      <c r="K33" s="97"/>
      <c r="L33" s="97"/>
      <c r="M33" s="97"/>
      <c r="N33" s="79"/>
      <c r="O33" s="79"/>
      <c r="P33" s="79"/>
      <c r="Q33" s="80">
        <f>IF(AND(Индексы!B30,Результаты!B31=" ",Результаты!C31=" ",Результаты!D31=" ",Результаты!E31=" "),1,0)</f>
        <v>0</v>
      </c>
      <c r="R33" s="136"/>
      <c r="S33" s="136"/>
      <c r="T33" s="136"/>
      <c r="U33" s="136"/>
      <c r="V33" s="137"/>
      <c r="W33" s="136"/>
      <c r="X33" s="79"/>
      <c r="Y33" s="79"/>
      <c r="Z33" s="83"/>
      <c r="AA33" s="83"/>
      <c r="AB33" s="83"/>
      <c r="AC33" s="83"/>
      <c r="AD33" s="83"/>
      <c r="AE33" s="83"/>
      <c r="AF33" s="83"/>
      <c r="AG33" s="83"/>
      <c r="AH33" s="83"/>
      <c r="AI33" s="83"/>
      <c r="AJ33" s="83"/>
      <c r="AK33" s="83"/>
      <c r="AL33" s="83"/>
      <c r="AM33" s="93"/>
      <c r="AN33" s="93"/>
      <c r="AO33" s="93"/>
      <c r="AP33" s="93"/>
      <c r="AQ33" s="93"/>
    </row>
    <row r="34" spans="2:43" s="19" customFormat="1" x14ac:dyDescent="0.25">
      <c r="B34" s="21"/>
      <c r="C34" s="20"/>
      <c r="D34" s="20"/>
      <c r="E34" s="20"/>
      <c r="F34" s="96"/>
      <c r="G34" s="96"/>
      <c r="H34" s="97"/>
      <c r="I34" s="97"/>
      <c r="J34" s="97"/>
      <c r="K34" s="97"/>
      <c r="L34" s="97"/>
      <c r="M34" s="97"/>
      <c r="N34" s="79"/>
      <c r="O34" s="79"/>
      <c r="P34" s="79"/>
      <c r="Q34" s="80">
        <f>IF(AND(Индексы!B31,Результаты!B32=" ",Результаты!C32=" ",Результаты!D32=" ",Результаты!E32=" "),1,0)</f>
        <v>0</v>
      </c>
      <c r="R34" s="136">
        <f ca="1">SUM(OFFSET(Графики!$C$1,R30+3,0):OFFSET(Графики!$C$1,30,0))</f>
        <v>0</v>
      </c>
      <c r="S34" s="136">
        <f ca="1">SUM(OFFSET(Графики!$C$1,S30+2,0):OFFSET(Графики!$C$1,30,0))</f>
        <v>0</v>
      </c>
      <c r="T34" s="136">
        <f ca="1">SUM(OFFSET(Графики!$C$1,1,0):OFFSET(Графики!$C$1,S32-2,0))</f>
        <v>23</v>
      </c>
      <c r="U34" s="136">
        <f ca="1">SUM(OFFSET(Графики!$C$1,U30+2,0):OFFSET(Графики!$C$1,30,0))</f>
        <v>0</v>
      </c>
      <c r="V34" s="136">
        <f ca="1">SUM(OFFSET(Графики!$C$1,1,0):OFFSET(Графики!$C$1,U32-2,0))</f>
        <v>29</v>
      </c>
      <c r="W34" s="136">
        <f ca="1">SUM(OFFSET(Графики!$C$1,1,0):OFFSET(Графики!$C$1,W32-3,0))</f>
        <v>30</v>
      </c>
      <c r="X34" s="133" t="s">
        <v>100</v>
      </c>
      <c r="Y34" s="79"/>
      <c r="Z34" s="83"/>
      <c r="AA34" s="83"/>
      <c r="AB34" s="83"/>
      <c r="AC34" s="83"/>
      <c r="AD34" s="83"/>
      <c r="AE34" s="83"/>
      <c r="AF34" s="83"/>
      <c r="AG34" s="83"/>
      <c r="AH34" s="83"/>
      <c r="AI34" s="83"/>
      <c r="AJ34" s="83"/>
      <c r="AK34" s="83"/>
      <c r="AL34" s="83"/>
      <c r="AM34" s="93"/>
      <c r="AN34" s="93"/>
      <c r="AO34" s="93"/>
      <c r="AP34" s="93"/>
      <c r="AQ34" s="93"/>
    </row>
    <row r="35" spans="2:43" s="19" customFormat="1" x14ac:dyDescent="0.25">
      <c r="B35" s="21"/>
      <c r="C35" s="20"/>
      <c r="D35" s="20"/>
      <c r="E35" s="20"/>
      <c r="F35" s="96"/>
      <c r="G35" s="96"/>
      <c r="H35" s="97"/>
      <c r="I35" s="97"/>
      <c r="J35" s="97"/>
      <c r="K35" s="97"/>
      <c r="L35" s="97"/>
      <c r="M35" s="97"/>
      <c r="N35" s="79"/>
      <c r="O35" s="79"/>
      <c r="P35" s="79"/>
      <c r="Q35" s="80">
        <f>IF(AND(Индексы!B32,Результаты!B33=" ",Результаты!C33=" ",Результаты!D33=" ",Результаты!E33=" "),1,0)</f>
        <v>0</v>
      </c>
      <c r="R35" s="136">
        <f ca="1">SUM(OFFSET(Графики!$C$1,R30,0):OFFSET(Графики!$C$1,R30+2,0))</f>
        <v>0</v>
      </c>
      <c r="S35" s="136">
        <f ca="1">SUM(OFFSET(Графики!$C$1,S30-1,0):OFFSET(Графики!$C$1,S30+1,0))</f>
        <v>0</v>
      </c>
      <c r="T35" s="136">
        <f ca="1">SUM(OFFSET(Графики!$C$1,S32-1,0):OFFSET(Графики!$C$1,S32+1,0))</f>
        <v>7</v>
      </c>
      <c r="U35" s="136">
        <f ca="1">SUM(OFFSET(Графики!$C$1,U30-1,0):OFFSET(Графики!$C$1,U30+1,0))</f>
        <v>0</v>
      </c>
      <c r="V35" s="136">
        <f ca="1">SUM(OFFSET(Графики!$C$1,U32-1,0):OFFSET(Графики!$C$1,U32+1,0))</f>
        <v>1</v>
      </c>
      <c r="W35" s="136">
        <f ca="1">SUM(OFFSET(Графики!$C$1,W32-2,0):OFFSET(Графики!$C$1,W32,0))</f>
        <v>0</v>
      </c>
      <c r="X35" s="133" t="s">
        <v>101</v>
      </c>
      <c r="Y35" s="79"/>
      <c r="Z35" s="83"/>
      <c r="AA35" s="83"/>
      <c r="AB35" s="83"/>
      <c r="AC35" s="83"/>
      <c r="AD35" s="83"/>
      <c r="AE35" s="83"/>
      <c r="AF35" s="83"/>
      <c r="AG35" s="83"/>
      <c r="AH35" s="83"/>
      <c r="AI35" s="83"/>
      <c r="AJ35" s="83"/>
      <c r="AK35" s="83"/>
      <c r="AL35" s="83"/>
      <c r="AM35" s="93"/>
      <c r="AN35" s="93"/>
      <c r="AO35" s="93"/>
      <c r="AP35" s="93"/>
      <c r="AQ35" s="93"/>
    </row>
    <row r="36" spans="2:43" s="19" customFormat="1" ht="27.6" customHeight="1" x14ac:dyDescent="0.25">
      <c r="B36" s="22"/>
      <c r="C36" s="22"/>
      <c r="D36" s="22"/>
      <c r="E36" s="22"/>
      <c r="F36" s="103"/>
      <c r="G36" s="103"/>
      <c r="H36" s="103"/>
      <c r="I36" s="103"/>
      <c r="J36" s="103"/>
      <c r="K36" s="103"/>
      <c r="L36" s="97"/>
      <c r="M36" s="97"/>
      <c r="N36" s="79"/>
      <c r="O36" s="79"/>
      <c r="P36" s="79"/>
      <c r="Q36" s="80">
        <f>IF(AND(Индексы!B33,Результаты!B34=" ",Результаты!C34=" ",Результаты!D34=" ",Результаты!E34=" "),1,0)</f>
        <v>0</v>
      </c>
      <c r="R36" s="139" t="s">
        <v>71</v>
      </c>
      <c r="S36" s="139" t="s">
        <v>71</v>
      </c>
      <c r="T36" s="139" t="s">
        <v>72</v>
      </c>
      <c r="U36" s="139" t="s">
        <v>71</v>
      </c>
      <c r="V36" s="139" t="s">
        <v>72</v>
      </c>
      <c r="W36" s="139" t="s">
        <v>72</v>
      </c>
      <c r="X36" s="79"/>
      <c r="Y36" s="79"/>
      <c r="Z36" s="83"/>
      <c r="AA36" s="83"/>
      <c r="AB36" s="83"/>
      <c r="AC36" s="83"/>
      <c r="AD36" s="83"/>
      <c r="AE36" s="83"/>
      <c r="AF36" s="83"/>
      <c r="AG36" s="83"/>
      <c r="AH36" s="83"/>
      <c r="AI36" s="83"/>
      <c r="AJ36" s="83"/>
      <c r="AK36" s="83"/>
      <c r="AL36" s="83"/>
      <c r="AM36" s="93"/>
      <c r="AN36" s="93"/>
      <c r="AO36" s="93"/>
      <c r="AP36" s="93"/>
      <c r="AQ36" s="93"/>
    </row>
    <row r="37" spans="2:43" s="19" customFormat="1" ht="19.95" customHeight="1" x14ac:dyDescent="0.25">
      <c r="B37" s="22"/>
      <c r="C37" s="22"/>
      <c r="D37" s="22"/>
      <c r="E37" s="22"/>
      <c r="F37" s="103"/>
      <c r="G37" s="103"/>
      <c r="H37" s="103"/>
      <c r="I37" s="103"/>
      <c r="J37" s="103"/>
      <c r="K37" s="103"/>
      <c r="L37" s="97"/>
      <c r="M37" s="97"/>
      <c r="N37" s="79"/>
      <c r="O37" s="79"/>
      <c r="P37" s="79"/>
      <c r="Q37" s="80">
        <f>IF(AND(Индексы!B34,Результаты!B35=" ",Результаты!C35=" ",Результаты!D35=" ",Результаты!E35=" "),1,0)</f>
        <v>0</v>
      </c>
      <c r="R37" s="79"/>
      <c r="S37" s="79"/>
      <c r="T37" s="79"/>
      <c r="U37" s="79"/>
      <c r="V37" s="125"/>
      <c r="W37" s="79"/>
      <c r="X37" s="79"/>
      <c r="Y37" s="79"/>
      <c r="Z37" s="83"/>
      <c r="AA37" s="83"/>
      <c r="AB37" s="83"/>
      <c r="AC37" s="83"/>
      <c r="AD37" s="83"/>
      <c r="AE37" s="83"/>
      <c r="AF37" s="83"/>
      <c r="AG37" s="83"/>
      <c r="AH37" s="83"/>
      <c r="AI37" s="83"/>
      <c r="AJ37" s="83"/>
      <c r="AK37" s="83"/>
      <c r="AL37" s="83"/>
      <c r="AM37" s="93"/>
      <c r="AN37" s="93"/>
      <c r="AO37" s="93"/>
      <c r="AP37" s="93"/>
      <c r="AQ37" s="93"/>
    </row>
    <row r="38" spans="2:43" s="19" customFormat="1" ht="19.95" customHeight="1" x14ac:dyDescent="0.25">
      <c r="B38" s="22"/>
      <c r="C38" s="22"/>
      <c r="D38" s="22"/>
      <c r="E38" s="22"/>
      <c r="F38" s="103"/>
      <c r="G38" s="103"/>
      <c r="H38" s="103"/>
      <c r="I38" s="103"/>
      <c r="J38" s="103"/>
      <c r="K38" s="103"/>
      <c r="L38" s="97"/>
      <c r="M38" s="97"/>
      <c r="N38" s="79"/>
      <c r="O38" s="79"/>
      <c r="P38" s="79"/>
      <c r="Q38" s="80">
        <f>IF(AND(Индексы!B35,Результаты!B36=" ",Результаты!C36=" ",Результаты!D36=" ",Результаты!E36=" "),1,0)</f>
        <v>0</v>
      </c>
      <c r="R38" s="244" t="s">
        <v>112</v>
      </c>
      <c r="S38" s="245"/>
      <c r="T38" s="245"/>
      <c r="U38" s="245"/>
      <c r="V38" s="245"/>
      <c r="W38" s="245"/>
      <c r="X38" s="79"/>
      <c r="Y38" s="79"/>
      <c r="Z38" s="83"/>
      <c r="AA38" s="83"/>
      <c r="AB38" s="83"/>
      <c r="AC38" s="83"/>
      <c r="AD38" s="83"/>
      <c r="AE38" s="83"/>
      <c r="AF38" s="83"/>
      <c r="AG38" s="83"/>
      <c r="AH38" s="83"/>
      <c r="AI38" s="83"/>
      <c r="AJ38" s="83"/>
      <c r="AK38" s="83"/>
      <c r="AL38" s="83"/>
      <c r="AM38" s="93"/>
      <c r="AN38" s="93"/>
      <c r="AO38" s="93"/>
      <c r="AP38" s="93"/>
      <c r="AQ38" s="93"/>
    </row>
    <row r="39" spans="2:43" s="19" customFormat="1" ht="19.95" customHeight="1" x14ac:dyDescent="0.25">
      <c r="B39" s="22"/>
      <c r="C39" s="22"/>
      <c r="D39" s="22"/>
      <c r="E39" s="22"/>
      <c r="F39" s="103"/>
      <c r="G39" s="103"/>
      <c r="H39" s="103"/>
      <c r="I39" s="103"/>
      <c r="J39" s="103"/>
      <c r="K39" s="103"/>
      <c r="L39" s="97"/>
      <c r="M39" s="97"/>
      <c r="N39" s="79"/>
      <c r="O39" s="79"/>
      <c r="P39" s="79"/>
      <c r="Q39" s="80"/>
      <c r="R39" s="162">
        <f ca="1">R46/ROUND(COUNTIF(Индексы!$B$2:$B$101,"&gt;0"),3)*100</f>
        <v>0</v>
      </c>
      <c r="S39" s="162">
        <f ca="1">(S46+T46)/ROUND(COUNTIF(Индексы!$B$2:$B$101,"&gt;0"),3)*100</f>
        <v>10</v>
      </c>
      <c r="T39" s="162"/>
      <c r="U39" s="129">
        <f ca="1">(U46+V46)/ROUND(COUNTIF(Индексы!$B$2:$B$101,"&gt;0"),3)*100</f>
        <v>86.666666666666671</v>
      </c>
      <c r="V39" s="129"/>
      <c r="W39" s="162">
        <f ca="1">W46/ROUND(COUNTIF(Индексы!$B$2:$B$101,"&gt;0"),3)*100</f>
        <v>86.666666666666671</v>
      </c>
      <c r="X39" s="132" t="s">
        <v>80</v>
      </c>
      <c r="Y39" s="79"/>
      <c r="Z39" s="83"/>
      <c r="AA39" s="83"/>
      <c r="AB39" s="83"/>
      <c r="AC39" s="83"/>
      <c r="AD39" s="83"/>
      <c r="AE39" s="83"/>
      <c r="AF39" s="83"/>
      <c r="AG39" s="83"/>
      <c r="AH39" s="83"/>
      <c r="AI39" s="83"/>
      <c r="AJ39" s="83"/>
      <c r="AK39" s="83"/>
      <c r="AL39" s="83"/>
      <c r="AM39" s="93"/>
      <c r="AN39" s="93"/>
      <c r="AO39" s="93"/>
      <c r="AP39" s="93"/>
      <c r="AQ39" s="93"/>
    </row>
    <row r="40" spans="2:43" s="19" customFormat="1" ht="19.95" customHeight="1" x14ac:dyDescent="0.25">
      <c r="B40" s="22"/>
      <c r="C40" s="22"/>
      <c r="D40" s="22"/>
      <c r="E40" s="22"/>
      <c r="F40" s="103"/>
      <c r="G40" s="103"/>
      <c r="H40" s="103"/>
      <c r="I40" s="103"/>
      <c r="J40" s="103"/>
      <c r="K40" s="103"/>
      <c r="L40" s="97"/>
      <c r="M40" s="97"/>
      <c r="N40" s="79"/>
      <c r="O40" s="79"/>
      <c r="P40" s="79"/>
      <c r="Q40" s="80">
        <f>IF(AND(Индексы!B36,Результаты!B37=" ",Результаты!C37=" ",Результаты!D37=" ",Результаты!E37=" "),1,0)</f>
        <v>0</v>
      </c>
      <c r="R40" s="162">
        <f ca="1">R47/ROUND(COUNTIF(Индексы!$B$2:$B$101,"&gt;0"),3)*100</f>
        <v>0</v>
      </c>
      <c r="S40" s="162">
        <f ca="1">(S47+T47)/ROUND(COUNTIF(Индексы!$B$2:$B$101,"&gt;0"),3)*100</f>
        <v>76.666666666666671</v>
      </c>
      <c r="T40" s="162"/>
      <c r="U40" s="129">
        <f ca="1">(U47+V47)/ROUND(COUNTIF(Индексы!$B$2:$B$101,"&gt;0"),3)*100</f>
        <v>13.333333333333334</v>
      </c>
      <c r="V40" s="129"/>
      <c r="W40" s="162">
        <f ca="1">W47/ROUND(COUNTIF(Индексы!$B$2:$B$101,"&gt;0"),3)*100</f>
        <v>13.333333333333334</v>
      </c>
      <c r="X40" s="133" t="s">
        <v>81</v>
      </c>
      <c r="Y40" s="79"/>
      <c r="Z40" s="83"/>
      <c r="AA40" s="83"/>
      <c r="AB40" s="83"/>
      <c r="AC40" s="83"/>
      <c r="AD40" s="83"/>
      <c r="AE40" s="83"/>
      <c r="AF40" s="83"/>
      <c r="AG40" s="83"/>
      <c r="AH40" s="83"/>
      <c r="AI40" s="83"/>
      <c r="AJ40" s="83"/>
      <c r="AK40" s="83"/>
      <c r="AL40" s="83"/>
      <c r="AM40" s="93"/>
      <c r="AN40" s="93"/>
      <c r="AO40" s="93"/>
      <c r="AP40" s="93"/>
      <c r="AQ40" s="93"/>
    </row>
    <row r="41" spans="2:43" s="19" customFormat="1" ht="43.2" customHeight="1" x14ac:dyDescent="0.25">
      <c r="B41" s="22"/>
      <c r="C41" s="22"/>
      <c r="D41" s="22"/>
      <c r="E41" s="22"/>
      <c r="F41" s="103"/>
      <c r="G41" s="103"/>
      <c r="H41" s="103"/>
      <c r="I41" s="103"/>
      <c r="J41" s="103"/>
      <c r="K41" s="103"/>
      <c r="L41" s="97"/>
      <c r="M41" s="97"/>
      <c r="N41" s="79"/>
      <c r="O41" s="79"/>
      <c r="P41" s="79"/>
      <c r="Q41" s="80">
        <f>IF(AND(Индексы!B37,Результаты!B38=" ",Результаты!C38=" ",Результаты!D38=" ",Результаты!E38=" "),1,0)</f>
        <v>0</v>
      </c>
      <c r="R41" s="134" t="str">
        <f ca="1">IF(OR(R39&gt;2,R40&gt;15),"Гибрид",IF(OR(R39&gt;2*0.5,R40&gt;15*0.5),"В допустимых пределах",IF(OR(R39&gt;0,R40&gt;0),"Несущественная","Отсутствует")))</f>
        <v>Отсутствует</v>
      </c>
      <c r="S41" s="134" t="str">
        <f ca="1">IF(OR(S39&gt;2,S40&gt;15),"Гибрид",IF(OR(S39&gt;2*0.5,S40&gt;15*0.5),"В допустимых пределах",IF(OR(S39&gt;0,S40&gt;0),"Несущественная","Отсутствует")))</f>
        <v>Гибрид</v>
      </c>
      <c r="T41" s="134"/>
      <c r="U41" s="134" t="str">
        <f ca="1">IF(OR(U39&gt;2,U40&gt;15),"Гибрид",IF(OR(U39&gt;2*0.5,U40&gt;15*0.5),"В допустимых пределах",IF(OR(U39&gt;0,U40&gt;0),"Несущественная","Отсутствует")))</f>
        <v>Гибрид</v>
      </c>
      <c r="V41" s="134"/>
      <c r="W41" s="134" t="str">
        <f ca="1">IF(OR(W39&gt;2,W40&gt;15),"Гибрид",IF(OR(W39&gt;2*0.5,W40&gt;15*0.5),"В допустимых пределах",IF(OR(W39&gt;0,W40&gt;0),"Несущественная","Отсутствует")))</f>
        <v>Гибрид</v>
      </c>
      <c r="X41" s="159"/>
      <c r="Y41" s="79"/>
      <c r="Z41" s="83"/>
      <c r="AA41" s="83"/>
      <c r="AB41" s="83"/>
      <c r="AC41" s="83"/>
      <c r="AD41" s="83"/>
      <c r="AE41" s="83"/>
      <c r="AF41" s="83"/>
      <c r="AG41" s="83"/>
      <c r="AH41" s="83"/>
      <c r="AI41" s="83"/>
      <c r="AJ41" s="83"/>
      <c r="AK41" s="83"/>
      <c r="AL41" s="83"/>
      <c r="AM41" s="93"/>
      <c r="AN41" s="93"/>
      <c r="AO41" s="93"/>
      <c r="AP41" s="93"/>
      <c r="AQ41" s="93"/>
    </row>
    <row r="42" spans="2:43" s="19" customFormat="1" ht="19.95" customHeight="1" x14ac:dyDescent="0.25">
      <c r="B42" s="22"/>
      <c r="C42" s="22"/>
      <c r="D42" s="22"/>
      <c r="E42" s="22"/>
      <c r="F42" s="103"/>
      <c r="G42" s="103"/>
      <c r="H42" s="103"/>
      <c r="I42" s="103"/>
      <c r="J42" s="103"/>
      <c r="K42" s="103"/>
      <c r="L42" s="97"/>
      <c r="M42" s="97"/>
      <c r="N42" s="79"/>
      <c r="O42" s="79"/>
      <c r="P42" s="79"/>
      <c r="Q42" s="80">
        <f>IF(AND(Индексы!B38,Результаты!B39=" ",Результаты!C39=" ",Результаты!D39=" ",Результаты!E39=" "),1,0)</f>
        <v>0</v>
      </c>
      <c r="R42" s="136">
        <f>MATCH(Породы!F4,Графики!$G$1:$G$30,1)</f>
        <v>18</v>
      </c>
      <c r="S42" s="136">
        <f>MATCH(Породы!F5,Графики!$G$1:$G$30,1)</f>
        <v>21</v>
      </c>
      <c r="T42" s="136"/>
      <c r="U42" s="136">
        <f>MATCH(Породы!F6,Графики!$G$1:$G$30,1)</f>
        <v>23</v>
      </c>
      <c r="V42" s="137"/>
      <c r="W42" s="136">
        <f>MATCH(Породы!F7,Графики!$G$1:$G$30,1)</f>
        <v>30</v>
      </c>
      <c r="X42" s="132" t="s">
        <v>95</v>
      </c>
      <c r="Y42" s="79"/>
      <c r="Z42" s="83"/>
      <c r="AA42" s="83"/>
      <c r="AB42" s="83"/>
      <c r="AC42" s="83"/>
      <c r="AD42" s="83"/>
      <c r="AE42" s="83"/>
      <c r="AF42" s="83"/>
      <c r="AG42" s="83"/>
      <c r="AH42" s="83"/>
      <c r="AI42" s="83"/>
      <c r="AJ42" s="83"/>
      <c r="AK42" s="83"/>
      <c r="AL42" s="83"/>
      <c r="AM42" s="93"/>
      <c r="AN42" s="93"/>
      <c r="AO42" s="93"/>
      <c r="AP42" s="93"/>
      <c r="AQ42" s="93"/>
    </row>
    <row r="43" spans="2:43" s="19" customFormat="1" ht="19.95" customHeight="1" x14ac:dyDescent="0.25">
      <c r="B43" s="22"/>
      <c r="C43" s="22"/>
      <c r="D43" s="22"/>
      <c r="E43" s="22"/>
      <c r="F43" s="103"/>
      <c r="G43" s="103"/>
      <c r="H43" s="103"/>
      <c r="I43" s="103"/>
      <c r="J43" s="103"/>
      <c r="K43" s="103"/>
      <c r="L43" s="97"/>
      <c r="M43" s="97"/>
      <c r="N43" s="79"/>
      <c r="O43" s="79"/>
      <c r="P43" s="79"/>
      <c r="Q43" s="80">
        <f>IF(AND(Индексы!B39,Результаты!B40=" ",Результаты!C40=" ",Результаты!D40=" ",Результаты!E40=" "),1,0)</f>
        <v>0</v>
      </c>
      <c r="R43" s="136"/>
      <c r="S43" s="136"/>
      <c r="T43" s="136"/>
      <c r="U43" s="136"/>
      <c r="V43" s="137"/>
      <c r="W43" s="136"/>
      <c r="X43" s="79"/>
      <c r="Y43" s="79"/>
      <c r="Z43" s="83"/>
      <c r="AA43" s="83"/>
      <c r="AB43" s="83"/>
      <c r="AC43" s="83"/>
      <c r="AD43" s="83"/>
      <c r="AE43" s="83"/>
      <c r="AF43" s="83"/>
      <c r="AG43" s="83"/>
      <c r="AH43" s="83"/>
      <c r="AI43" s="83"/>
      <c r="AJ43" s="83"/>
      <c r="AK43" s="83"/>
      <c r="AL43" s="83"/>
      <c r="AM43" s="93"/>
      <c r="AN43" s="93"/>
      <c r="AO43" s="93"/>
      <c r="AP43" s="93"/>
      <c r="AQ43" s="93"/>
    </row>
    <row r="44" spans="2:43" s="19" customFormat="1" ht="19.95" customHeight="1" x14ac:dyDescent="0.25">
      <c r="B44" s="22"/>
      <c r="C44" s="22"/>
      <c r="D44" s="22"/>
      <c r="E44" s="22"/>
      <c r="F44" s="103"/>
      <c r="G44" s="103"/>
      <c r="H44" s="103"/>
      <c r="I44" s="103"/>
      <c r="J44" s="103"/>
      <c r="K44" s="103"/>
      <c r="L44" s="97"/>
      <c r="M44" s="97"/>
      <c r="N44" s="79"/>
      <c r="O44" s="79"/>
      <c r="P44" s="79"/>
      <c r="Q44" s="80">
        <f>IF(AND(Индексы!B40,Результаты!B41=" ",Результаты!C41=" ",Результаты!D41=" ",Результаты!E41=" "),1,0)</f>
        <v>0</v>
      </c>
      <c r="R44" s="136">
        <f>MATCH(Породы!E4,Графики!$G$1:$G$30,1)</f>
        <v>2</v>
      </c>
      <c r="S44" s="136">
        <f>MATCH(Породы!E5,Графики!$G$1:$G$30,1)</f>
        <v>15</v>
      </c>
      <c r="T44" s="136"/>
      <c r="U44" s="136">
        <f>MATCH(Породы!E6,Графики!$G$1:$G$30,1)</f>
        <v>18</v>
      </c>
      <c r="V44" s="137"/>
      <c r="W44" s="138">
        <f>MATCH(Породы!E7,Графики!$G$1:$G$30,1)</f>
        <v>18</v>
      </c>
      <c r="X44" s="133" t="s">
        <v>96</v>
      </c>
      <c r="Y44" s="79"/>
      <c r="Z44" s="83"/>
      <c r="AA44" s="83"/>
      <c r="AB44" s="83"/>
      <c r="AC44" s="83"/>
      <c r="AD44" s="83"/>
      <c r="AE44" s="83"/>
      <c r="AF44" s="83"/>
      <c r="AG44" s="83"/>
      <c r="AH44" s="83"/>
      <c r="AI44" s="83"/>
      <c r="AJ44" s="83"/>
      <c r="AK44" s="83"/>
      <c r="AL44" s="83"/>
      <c r="AM44" s="93"/>
      <c r="AN44" s="93"/>
      <c r="AO44" s="93"/>
      <c r="AP44" s="93"/>
      <c r="AQ44" s="93"/>
    </row>
    <row r="45" spans="2:43" s="19" customFormat="1" ht="19.95" customHeight="1" x14ac:dyDescent="0.25">
      <c r="B45" s="22"/>
      <c r="C45" s="22"/>
      <c r="D45" s="22"/>
      <c r="E45" s="22"/>
      <c r="F45" s="103"/>
      <c r="G45" s="103"/>
      <c r="H45" s="103"/>
      <c r="I45" s="103"/>
      <c r="J45" s="103"/>
      <c r="K45" s="103"/>
      <c r="L45" s="97"/>
      <c r="M45" s="97"/>
      <c r="N45" s="79"/>
      <c r="O45" s="79"/>
      <c r="P45" s="79"/>
      <c r="Q45" s="80">
        <f>IF(AND(Индексы!B41,Результаты!B42=" ",Результаты!C42=" ",Результаты!D42=" ",Результаты!E42=" "),1,0)</f>
        <v>0</v>
      </c>
      <c r="R45" s="136"/>
      <c r="S45" s="136"/>
      <c r="T45" s="136"/>
      <c r="U45" s="136"/>
      <c r="V45" s="137"/>
      <c r="W45" s="136"/>
      <c r="X45" s="79"/>
      <c r="Y45" s="79"/>
      <c r="Z45" s="83"/>
      <c r="AA45" s="83"/>
      <c r="AB45" s="83"/>
      <c r="AC45" s="83"/>
      <c r="AD45" s="83"/>
      <c r="AE45" s="83"/>
      <c r="AF45" s="83"/>
      <c r="AG45" s="83"/>
      <c r="AH45" s="83"/>
      <c r="AI45" s="83"/>
      <c r="AJ45" s="83"/>
      <c r="AK45" s="83"/>
      <c r="AL45" s="83"/>
      <c r="AM45" s="93"/>
      <c r="AN45" s="93"/>
      <c r="AO45" s="93"/>
      <c r="AP45" s="93"/>
      <c r="AQ45" s="93"/>
    </row>
    <row r="46" spans="2:43" s="19" customFormat="1" x14ac:dyDescent="0.25">
      <c r="B46" s="21"/>
      <c r="C46" s="20"/>
      <c r="D46" s="20"/>
      <c r="E46" s="20"/>
      <c r="F46" s="96"/>
      <c r="G46" s="96"/>
      <c r="H46" s="97"/>
      <c r="I46" s="97"/>
      <c r="J46" s="97"/>
      <c r="K46" s="97"/>
      <c r="L46" s="97"/>
      <c r="M46" s="97"/>
      <c r="N46" s="79"/>
      <c r="O46" s="79"/>
      <c r="P46" s="79"/>
      <c r="Q46" s="80">
        <f>IF(AND(Индексы!B42,Результаты!B43=" ",Результаты!C43=" ",Результаты!D43=" ",Результаты!E43=" "),1,0)</f>
        <v>0</v>
      </c>
      <c r="R46" s="136">
        <f ca="1">SUM(OFFSET(Графики!$H$1,R42+3,0):OFFSET(Графики!$H$1,30,0))</f>
        <v>0</v>
      </c>
      <c r="S46" s="136">
        <f ca="1">SUM(OFFSET(Графики!$H$1,S42+3,0):OFFSET(Графики!$H$1,30,0))</f>
        <v>0</v>
      </c>
      <c r="T46" s="136">
        <f ca="1">SUM(OFFSET(Графики!$H$1,1,0):OFFSET(Графики!$H$1,S44-4,0))</f>
        <v>3</v>
      </c>
      <c r="U46" s="136">
        <f ca="1">SUM(OFFSET(Графики!$H$1,U42+3,0):OFFSET(Графики!$H$1,30,0))</f>
        <v>0</v>
      </c>
      <c r="V46" s="136">
        <f ca="1">SUM(OFFSET(Графики!$H$1,R44,0):OFFSET(Графики!$H$1,U44-4,0))</f>
        <v>26</v>
      </c>
      <c r="W46" s="136">
        <f ca="1">SUM(OFFSET(Графики!$H$1,1,0):OFFSET(Графики!$H$1,W44-4,0))</f>
        <v>26</v>
      </c>
      <c r="X46" s="133" t="s">
        <v>100</v>
      </c>
      <c r="Y46" s="79"/>
      <c r="Z46" s="83"/>
      <c r="AA46" s="83"/>
      <c r="AB46" s="83"/>
      <c r="AC46" s="83"/>
      <c r="AD46" s="83"/>
      <c r="AE46" s="83"/>
      <c r="AF46" s="83"/>
      <c r="AG46" s="83"/>
      <c r="AH46" s="83"/>
      <c r="AI46" s="83"/>
      <c r="AJ46" s="83"/>
      <c r="AK46" s="83"/>
      <c r="AL46" s="83"/>
      <c r="AM46" s="93"/>
      <c r="AN46" s="93"/>
      <c r="AO46" s="93"/>
      <c r="AP46" s="93"/>
      <c r="AQ46" s="93"/>
    </row>
    <row r="47" spans="2:43" s="19" customFormat="1" ht="19.95" customHeight="1" x14ac:dyDescent="0.25">
      <c r="B47" s="22"/>
      <c r="C47" s="22"/>
      <c r="D47" s="22"/>
      <c r="E47" s="22"/>
      <c r="F47" s="103"/>
      <c r="G47" s="103"/>
      <c r="H47" s="103"/>
      <c r="I47" s="103"/>
      <c r="J47" s="103"/>
      <c r="K47" s="103"/>
      <c r="L47" s="97"/>
      <c r="M47" s="97"/>
      <c r="N47" s="79"/>
      <c r="O47" s="79"/>
      <c r="P47" s="79"/>
      <c r="Q47" s="80">
        <f>IF(AND(Индексы!B42,Результаты!B43=" ",Результаты!C43=" ",Результаты!D43=" ",Результаты!E43=" "),1,0)</f>
        <v>0</v>
      </c>
      <c r="R47" s="136">
        <f ca="1">SUM(OFFSET(Графики!$H$1,R42,0):OFFSET(Графики!$H$1,R42+2,0))</f>
        <v>0</v>
      </c>
      <c r="S47" s="136">
        <f ca="1">SUM(OFFSET(Графики!$H$1,S42,0):OFFSET(Графики!$H$1,S42+2,0))</f>
        <v>0</v>
      </c>
      <c r="T47" s="136">
        <f ca="1">SUM(OFFSET(Графики!$H$1,S44-3,0):OFFSET(Графики!$H$1,S44-1,0))</f>
        <v>23</v>
      </c>
      <c r="U47" s="136">
        <f ca="1">SUM(OFFSET(Графики!$H$1,U42,0):OFFSET(Графики!$H$1,U42+2,0))</f>
        <v>0</v>
      </c>
      <c r="V47" s="136">
        <f ca="1">SUM(OFFSET(Графики!$H$1,U44-3,0):OFFSET(Графики!$H$1,U44-1,0))</f>
        <v>4</v>
      </c>
      <c r="W47" s="136">
        <f ca="1">SUM(OFFSET(Графики!$H$1,W44-3,0):OFFSET(Графики!$H$1,W44-1,0))</f>
        <v>4</v>
      </c>
      <c r="X47" s="133" t="s">
        <v>113</v>
      </c>
      <c r="Y47" s="79"/>
      <c r="Z47" s="83"/>
      <c r="AA47" s="83"/>
      <c r="AB47" s="83"/>
      <c r="AC47" s="83"/>
      <c r="AD47" s="83"/>
      <c r="AE47" s="83"/>
      <c r="AF47" s="83"/>
      <c r="AG47" s="83"/>
      <c r="AH47" s="83"/>
      <c r="AI47" s="83"/>
      <c r="AJ47" s="83"/>
      <c r="AK47" s="83"/>
      <c r="AL47" s="83"/>
      <c r="AM47" s="93"/>
      <c r="AN47" s="93"/>
      <c r="AO47" s="93"/>
      <c r="AP47" s="93"/>
      <c r="AQ47" s="93"/>
    </row>
    <row r="48" spans="2:43" s="19" customFormat="1" ht="19.95" customHeight="1" x14ac:dyDescent="0.25">
      <c r="B48" s="22"/>
      <c r="C48" s="22"/>
      <c r="D48" s="22"/>
      <c r="E48" s="22"/>
      <c r="F48" s="103"/>
      <c r="G48" s="103"/>
      <c r="H48" s="103"/>
      <c r="I48" s="103"/>
      <c r="J48" s="103"/>
      <c r="K48" s="103"/>
      <c r="L48" s="97"/>
      <c r="M48" s="97"/>
      <c r="N48" s="79"/>
      <c r="O48" s="79"/>
      <c r="P48" s="79"/>
      <c r="Q48" s="80">
        <f>IF(AND(Индексы!B43,Результаты!B44=" ",Результаты!C44=" ",Результаты!D44=" ",Результаты!E44=" "),1,0)</f>
        <v>0</v>
      </c>
      <c r="R48" s="93"/>
      <c r="S48" s="93"/>
      <c r="T48" s="93"/>
      <c r="U48" s="93"/>
      <c r="V48" s="93"/>
      <c r="W48" s="93"/>
      <c r="X48" s="93"/>
      <c r="Y48" s="93"/>
      <c r="Z48" s="83"/>
      <c r="AA48" s="83"/>
      <c r="AB48" s="83"/>
      <c r="AC48" s="83"/>
      <c r="AD48" s="83"/>
      <c r="AE48" s="83"/>
      <c r="AF48" s="83"/>
      <c r="AG48" s="83"/>
      <c r="AH48" s="83"/>
      <c r="AI48" s="83"/>
      <c r="AJ48" s="83"/>
      <c r="AK48" s="83"/>
      <c r="AL48" s="83"/>
      <c r="AM48" s="93"/>
      <c r="AN48" s="93"/>
      <c r="AO48" s="93"/>
      <c r="AP48" s="93"/>
      <c r="AQ48" s="93"/>
    </row>
    <row r="49" spans="2:43" s="19" customFormat="1" ht="19.95" customHeight="1" x14ac:dyDescent="0.25">
      <c r="B49" s="22"/>
      <c r="C49" s="22"/>
      <c r="D49" s="22"/>
      <c r="E49" s="22"/>
      <c r="F49" s="103"/>
      <c r="G49" s="103"/>
      <c r="H49" s="103"/>
      <c r="I49" s="103"/>
      <c r="J49" s="103"/>
      <c r="K49" s="103"/>
      <c r="L49" s="97"/>
      <c r="M49" s="97"/>
      <c r="N49" s="79"/>
      <c r="O49" s="79"/>
      <c r="P49" s="79"/>
      <c r="Q49" s="80">
        <f>IF(AND(Индексы!B44,Результаты!B45=" ",Результаты!C45=" ",Результаты!D45=" ",Результаты!E45=" "),1,0)</f>
        <v>0</v>
      </c>
      <c r="R49" s="93"/>
      <c r="S49" s="93"/>
      <c r="T49" s="93"/>
      <c r="U49" s="93"/>
      <c r="V49" s="93"/>
      <c r="W49" s="93"/>
      <c r="X49" s="93"/>
      <c r="Y49" s="79"/>
      <c r="Z49" s="83"/>
      <c r="AA49" s="83"/>
      <c r="AB49" s="83"/>
      <c r="AC49" s="83"/>
      <c r="AD49" s="83"/>
      <c r="AE49" s="83"/>
      <c r="AF49" s="83"/>
      <c r="AG49" s="83"/>
      <c r="AH49" s="83"/>
      <c r="AI49" s="83"/>
      <c r="AJ49" s="83"/>
      <c r="AK49" s="83"/>
      <c r="AL49" s="83"/>
      <c r="AM49" s="93"/>
      <c r="AN49" s="93"/>
      <c r="AO49" s="93"/>
      <c r="AP49" s="93"/>
      <c r="AQ49" s="93"/>
    </row>
    <row r="50" spans="2:43" s="19" customFormat="1" ht="19.95" customHeight="1" x14ac:dyDescent="0.25">
      <c r="B50" s="22"/>
      <c r="C50" s="22"/>
      <c r="D50" s="22"/>
      <c r="E50" s="22"/>
      <c r="F50" s="103"/>
      <c r="G50" s="103"/>
      <c r="H50" s="103"/>
      <c r="I50" s="103"/>
      <c r="J50" s="103"/>
      <c r="K50" s="103"/>
      <c r="L50" s="97"/>
      <c r="M50" s="97"/>
      <c r="N50" s="79"/>
      <c r="O50" s="79"/>
      <c r="P50" s="79"/>
      <c r="Q50" s="80">
        <f>IF(AND(Индексы!B45,Результаты!B46=" ",Результаты!C46=" ",Результаты!D46=" ",Результаты!E46=" "),1,0)</f>
        <v>0</v>
      </c>
      <c r="R50" s="244" t="s">
        <v>114</v>
      </c>
      <c r="S50" s="245"/>
      <c r="T50" s="245"/>
      <c r="U50" s="245"/>
      <c r="V50" s="245"/>
      <c r="W50" s="245"/>
      <c r="X50" s="79"/>
      <c r="Y50" s="79"/>
      <c r="Z50" s="83"/>
      <c r="AA50" s="83"/>
      <c r="AB50" s="83"/>
      <c r="AC50" s="83"/>
      <c r="AD50" s="83"/>
      <c r="AE50" s="83"/>
      <c r="AF50" s="83"/>
      <c r="AG50" s="83"/>
      <c r="AH50" s="83"/>
      <c r="AI50" s="83"/>
      <c r="AJ50" s="83"/>
      <c r="AK50" s="83"/>
      <c r="AL50" s="83"/>
      <c r="AM50" s="93"/>
      <c r="AN50" s="93"/>
      <c r="AO50" s="93"/>
      <c r="AP50" s="93"/>
      <c r="AQ50" s="93"/>
    </row>
    <row r="51" spans="2:43" s="19" customFormat="1" ht="19.95" customHeight="1" x14ac:dyDescent="0.25">
      <c r="B51" s="22"/>
      <c r="C51" s="22"/>
      <c r="D51" s="22"/>
      <c r="E51" s="22"/>
      <c r="F51" s="103"/>
      <c r="G51" s="103"/>
      <c r="H51" s="103"/>
      <c r="I51" s="103"/>
      <c r="J51" s="103"/>
      <c r="K51" s="103"/>
      <c r="L51" s="97"/>
      <c r="M51" s="97"/>
      <c r="N51" s="79"/>
      <c r="O51" s="79"/>
      <c r="P51" s="79"/>
      <c r="Q51" s="80"/>
      <c r="R51" s="162">
        <f ca="1">R58/ROUND(COUNTIF(Индексы!$B$2:$B$101,"&gt;0"),3)*100</f>
        <v>0</v>
      </c>
      <c r="S51" s="162">
        <f ca="1">(S58+T58)/ROUND(COUNTIF(Индексы!$B$2:$B$101,"&gt;0"),3)*100</f>
        <v>0</v>
      </c>
      <c r="T51" s="162"/>
      <c r="U51" s="129">
        <f ca="1">(U58+V58)/ROUND(COUNTIF(Индексы!$B$2:$B$101,"&gt;0"),3)*100</f>
        <v>56.666666666666664</v>
      </c>
      <c r="V51" s="129"/>
      <c r="W51" s="162">
        <f ca="1">W58/ROUND(COUNTIF(Индексы!$B$2:$B$101,"&gt;0"),3)*100</f>
        <v>56.666666666666664</v>
      </c>
      <c r="X51" s="132" t="s">
        <v>80</v>
      </c>
      <c r="Y51" s="79"/>
      <c r="Z51" s="83"/>
      <c r="AA51" s="83"/>
      <c r="AB51" s="83"/>
      <c r="AC51" s="83"/>
      <c r="AD51" s="83"/>
      <c r="AE51" s="83"/>
      <c r="AF51" s="83"/>
      <c r="AG51" s="83"/>
      <c r="AH51" s="83"/>
      <c r="AI51" s="83"/>
      <c r="AJ51" s="83"/>
      <c r="AK51" s="83"/>
      <c r="AL51" s="83"/>
      <c r="AM51" s="93"/>
      <c r="AN51" s="93"/>
      <c r="AO51" s="93"/>
      <c r="AP51" s="93"/>
      <c r="AQ51" s="93"/>
    </row>
    <row r="52" spans="2:43" s="19" customFormat="1" ht="19.95" customHeight="1" x14ac:dyDescent="0.25">
      <c r="B52" s="22"/>
      <c r="C52" s="22"/>
      <c r="D52" s="22"/>
      <c r="E52" s="22"/>
      <c r="F52" s="103"/>
      <c r="G52" s="103"/>
      <c r="H52" s="103"/>
      <c r="I52" s="103"/>
      <c r="J52" s="103"/>
      <c r="K52" s="103"/>
      <c r="L52" s="97"/>
      <c r="M52" s="97"/>
      <c r="N52" s="79"/>
      <c r="O52" s="79"/>
      <c r="P52" s="79"/>
      <c r="Q52" s="80">
        <f>IF(AND(Индексы!B48,Результаты!B49=" ",Результаты!C49=" ",Результаты!D49=" ",Результаты!E49=" "),1,0)</f>
        <v>0</v>
      </c>
      <c r="R52" s="162">
        <f ca="1">R59/ROUND(COUNTIF(Индексы!$B$2:$B$101,"&gt;0"),3)*100</f>
        <v>0</v>
      </c>
      <c r="S52" s="162">
        <f ca="1">(S59+T59)/ROUND(COUNTIF(Индексы!$B$2:$B$101,"&gt;0"),3)*100</f>
        <v>0</v>
      </c>
      <c r="T52" s="162"/>
      <c r="U52" s="129">
        <f ca="1">(U59+V59)/ROUND(COUNTIF(Индексы!$B$2:$B$101,"&gt;0"),3)*100</f>
        <v>43.333333333333336</v>
      </c>
      <c r="V52" s="129"/>
      <c r="W52" s="162">
        <f ca="1">W59/ROUND(COUNTIF(Индексы!$B$2:$B$101,"&gt;0"),3)*100</f>
        <v>43.333333333333336</v>
      </c>
      <c r="X52" s="133" t="s">
        <v>81</v>
      </c>
      <c r="Y52" s="79"/>
      <c r="Z52" s="83"/>
      <c r="AA52" s="83"/>
      <c r="AB52" s="83"/>
      <c r="AC52" s="83"/>
      <c r="AD52" s="83"/>
      <c r="AE52" s="83"/>
      <c r="AF52" s="83"/>
      <c r="AG52" s="83"/>
      <c r="AH52" s="83"/>
      <c r="AI52" s="83"/>
      <c r="AJ52" s="83"/>
      <c r="AK52" s="83"/>
      <c r="AL52" s="83"/>
      <c r="AM52" s="93"/>
      <c r="AN52" s="93"/>
      <c r="AO52" s="93"/>
      <c r="AP52" s="93"/>
      <c r="AQ52" s="93"/>
    </row>
    <row r="53" spans="2:43" s="19" customFormat="1" ht="41.4" customHeight="1" x14ac:dyDescent="0.25">
      <c r="B53" s="22"/>
      <c r="C53" s="22"/>
      <c r="D53" s="22"/>
      <c r="E53" s="22"/>
      <c r="F53" s="103"/>
      <c r="G53" s="103"/>
      <c r="H53" s="103"/>
      <c r="I53" s="103"/>
      <c r="J53" s="103"/>
      <c r="K53" s="103"/>
      <c r="L53" s="97"/>
      <c r="M53" s="97"/>
      <c r="N53" s="79"/>
      <c r="O53" s="79"/>
      <c r="P53" s="79"/>
      <c r="Q53" s="80">
        <f>IF(AND(Индексы!B49,Результаты!B50=" ",Результаты!C50=" ",Результаты!D50=" ",Результаты!E50=" "),1,0)</f>
        <v>0</v>
      </c>
      <c r="R53" s="134" t="str">
        <f ca="1">IF(OR(R51&gt;2,R52&gt;15),"Гибрид",IF(OR(R51&gt;2*0.5,R52&gt;15*0.5),"В допустимых пределах",IF(OR(R51&gt;0,R52&gt;0),"Несущественная","Отсутствует")))</f>
        <v>Отсутствует</v>
      </c>
      <c r="S53" s="134" t="str">
        <f ca="1">IF(OR(S51&gt;2,S52&gt;15),"Гибрид",IF(OR(S51&gt;2*0.5,S52&gt;15*0.5),"В допустимых пределах",IF(OR(S51&gt;0,S52&gt;0),"Несущественная","Отсутствует")))</f>
        <v>Отсутствует</v>
      </c>
      <c r="T53" s="134"/>
      <c r="U53" s="134" t="str">
        <f ca="1">IF(OR(U51&gt;2,U52&gt;15),"Гибрид",IF(OR(U51&gt;2*0.5,U52&gt;15*0.5),"В допустимых пределах",IF(OR(U51&gt;0,U52&gt;0),"Несущественная","Отсутствует")))</f>
        <v>Гибрид</v>
      </c>
      <c r="V53" s="134"/>
      <c r="W53" s="134" t="str">
        <f ca="1">IF(OR(W51&gt;2,W52&gt;15),"Гибрид",IF(OR(W51&gt;2*0.5,W52&gt;15*0.5),"В допустимых пределах",IF(OR(W51&gt;0,W52&gt;0),"Несущественная","Отсутствует")))</f>
        <v>Гибрид</v>
      </c>
      <c r="X53" s="159"/>
      <c r="Y53" s="79"/>
      <c r="Z53" s="83"/>
      <c r="AA53" s="83"/>
      <c r="AB53" s="83"/>
      <c r="AC53" s="83"/>
      <c r="AD53" s="83"/>
      <c r="AE53" s="83"/>
      <c r="AF53" s="83"/>
      <c r="AG53" s="83"/>
      <c r="AH53" s="83"/>
      <c r="AI53" s="83"/>
      <c r="AJ53" s="83"/>
      <c r="AK53" s="83"/>
      <c r="AL53" s="83"/>
      <c r="AM53" s="93"/>
      <c r="AN53" s="93"/>
      <c r="AO53" s="93"/>
      <c r="AP53" s="93"/>
      <c r="AQ53" s="93"/>
    </row>
    <row r="54" spans="2:43" s="19" customFormat="1" ht="19.95" customHeight="1" x14ac:dyDescent="0.25">
      <c r="B54" s="22"/>
      <c r="C54" s="22"/>
      <c r="D54" s="22"/>
      <c r="E54" s="22"/>
      <c r="F54" s="103"/>
      <c r="G54" s="103"/>
      <c r="H54" s="103"/>
      <c r="I54" s="103"/>
      <c r="J54" s="103"/>
      <c r="K54" s="103"/>
      <c r="L54" s="97"/>
      <c r="M54" s="97"/>
      <c r="N54" s="79"/>
      <c r="O54" s="79"/>
      <c r="P54" s="79"/>
      <c r="Q54" s="80">
        <f>IF(AND(Индексы!B50,Результаты!B51=" ",Результаты!C51=" ",Результаты!D51=" ",Результаты!E51=" "),1,0)</f>
        <v>0</v>
      </c>
      <c r="R54" s="136">
        <f>MATCH(Породы!H4,Графики!$D$1:$D$33,1)</f>
        <v>17</v>
      </c>
      <c r="S54" s="136">
        <f>MATCH(Породы!H5,Графики!$D$1:$D$33,1)</f>
        <v>21</v>
      </c>
      <c r="T54" s="136"/>
      <c r="U54" s="136">
        <f>MATCH(Породы!H6,Графики!$D$1:$D$33,1)</f>
        <v>27</v>
      </c>
      <c r="V54" s="137"/>
      <c r="W54" s="136">
        <f>MATCH(Породы!H7,Графики!$D$1:$D$33,1)</f>
        <v>33</v>
      </c>
      <c r="X54" s="132" t="s">
        <v>95</v>
      </c>
      <c r="Y54" s="79"/>
      <c r="Z54" s="83"/>
      <c r="AA54" s="83"/>
      <c r="AB54" s="83"/>
      <c r="AC54" s="83"/>
      <c r="AD54" s="83"/>
      <c r="AE54" s="83"/>
      <c r="AF54" s="83"/>
      <c r="AG54" s="83"/>
      <c r="AH54" s="83"/>
      <c r="AI54" s="83"/>
      <c r="AJ54" s="83"/>
      <c r="AK54" s="83"/>
      <c r="AL54" s="83"/>
      <c r="AM54" s="93"/>
      <c r="AN54" s="93"/>
      <c r="AO54" s="93"/>
      <c r="AP54" s="93"/>
      <c r="AQ54" s="93"/>
    </row>
    <row r="55" spans="2:43" s="19" customFormat="1" ht="19.95" customHeight="1" x14ac:dyDescent="0.25">
      <c r="B55" s="22"/>
      <c r="C55" s="22"/>
      <c r="D55" s="22"/>
      <c r="E55" s="22"/>
      <c r="F55" s="103"/>
      <c r="G55" s="103"/>
      <c r="H55" s="103"/>
      <c r="I55" s="103"/>
      <c r="J55" s="103"/>
      <c r="K55" s="103"/>
      <c r="L55" s="97"/>
      <c r="M55" s="97"/>
      <c r="N55" s="79"/>
      <c r="O55" s="79"/>
      <c r="P55" s="79"/>
      <c r="Q55" s="80">
        <f>IF(AND(Индексы!B51,Результаты!B52=" ",Результаты!C52=" ",Результаты!D52=" ",Результаты!E52=" "),1,0)</f>
        <v>0</v>
      </c>
      <c r="R55" s="136"/>
      <c r="S55" s="136"/>
      <c r="T55" s="136"/>
      <c r="U55" s="136"/>
      <c r="V55" s="137"/>
      <c r="W55" s="136"/>
      <c r="X55" s="79"/>
      <c r="Y55" s="79"/>
      <c r="Z55" s="83"/>
      <c r="AA55" s="83"/>
      <c r="AB55" s="83"/>
      <c r="AC55" s="83"/>
      <c r="AD55" s="83"/>
      <c r="AE55" s="83"/>
      <c r="AF55" s="83"/>
      <c r="AG55" s="83"/>
      <c r="AH55" s="83"/>
      <c r="AI55" s="83"/>
      <c r="AJ55" s="83"/>
      <c r="AK55" s="83"/>
      <c r="AL55" s="83"/>
      <c r="AM55" s="93"/>
      <c r="AN55" s="93"/>
      <c r="AO55" s="93"/>
      <c r="AP55" s="93"/>
      <c r="AQ55" s="93"/>
    </row>
    <row r="56" spans="2:43" s="19" customFormat="1" ht="19.95" customHeight="1" x14ac:dyDescent="0.25">
      <c r="B56" s="22"/>
      <c r="C56" s="22"/>
      <c r="D56" s="22"/>
      <c r="E56" s="22"/>
      <c r="F56" s="103"/>
      <c r="G56" s="103"/>
      <c r="H56" s="103"/>
      <c r="I56" s="103"/>
      <c r="J56" s="103"/>
      <c r="K56" s="103"/>
      <c r="L56" s="97"/>
      <c r="M56" s="97"/>
      <c r="N56" s="79"/>
      <c r="O56" s="79"/>
      <c r="P56" s="79"/>
      <c r="Q56" s="80">
        <f>IF(AND(Индексы!B52,Результаты!B53=" ",Результаты!C53=" ",Результаты!D53=" ",Результаты!E53=" "),1,0)</f>
        <v>0</v>
      </c>
      <c r="R56" s="136">
        <f>MATCH(Породы!G4,Графики!$D$1:$D$33,1)</f>
        <v>2</v>
      </c>
      <c r="S56" s="136">
        <f>MATCH(Породы!G5,Графики!$D$1:$D$33,1)</f>
        <v>7</v>
      </c>
      <c r="T56" s="136"/>
      <c r="U56" s="136">
        <f>MATCH(Породы!G6,Графики!$D$1:$D$33,1)</f>
        <v>17</v>
      </c>
      <c r="V56" s="137"/>
      <c r="W56" s="135">
        <f>MATCH(Породы!G7,Графики!$D$1:$D$33,1)</f>
        <v>17</v>
      </c>
      <c r="X56" s="133" t="s">
        <v>96</v>
      </c>
      <c r="Y56" s="79"/>
      <c r="Z56" s="83"/>
      <c r="AA56" s="83"/>
      <c r="AB56" s="83"/>
      <c r="AC56" s="83"/>
      <c r="AD56" s="83"/>
      <c r="AE56" s="83"/>
      <c r="AF56" s="83"/>
      <c r="AG56" s="83"/>
      <c r="AH56" s="83"/>
      <c r="AI56" s="83"/>
      <c r="AJ56" s="83"/>
      <c r="AK56" s="83"/>
      <c r="AL56" s="83"/>
      <c r="AM56" s="93"/>
      <c r="AN56" s="93"/>
      <c r="AO56" s="93"/>
      <c r="AP56" s="93"/>
      <c r="AQ56" s="93"/>
    </row>
    <row r="57" spans="2:43" s="19" customFormat="1" ht="19.95" customHeight="1" x14ac:dyDescent="0.25">
      <c r="B57" s="22"/>
      <c r="C57" s="22"/>
      <c r="D57" s="22"/>
      <c r="E57" s="22"/>
      <c r="F57" s="103"/>
      <c r="G57" s="103"/>
      <c r="H57" s="103"/>
      <c r="I57" s="103"/>
      <c r="J57" s="103"/>
      <c r="K57" s="103"/>
      <c r="L57" s="97"/>
      <c r="M57" s="97"/>
      <c r="N57" s="79"/>
      <c r="O57" s="79"/>
      <c r="P57" s="79"/>
      <c r="Q57" s="80">
        <f>IF(AND(Индексы!B53,Результаты!B54=" ",Результаты!C54=" ",Результаты!D54=" ",Результаты!E54=" "),1,0)</f>
        <v>0</v>
      </c>
      <c r="R57" s="136"/>
      <c r="S57" s="136"/>
      <c r="T57" s="136"/>
      <c r="U57" s="136"/>
      <c r="V57" s="137"/>
      <c r="W57" s="136"/>
      <c r="X57" s="79"/>
      <c r="Y57" s="79"/>
      <c r="Z57" s="83"/>
      <c r="AA57" s="83"/>
      <c r="AB57" s="83"/>
      <c r="AC57" s="83"/>
      <c r="AD57" s="83"/>
      <c r="AE57" s="83"/>
      <c r="AF57" s="83"/>
      <c r="AG57" s="83"/>
      <c r="AH57" s="83"/>
      <c r="AI57" s="83"/>
      <c r="AJ57" s="83"/>
      <c r="AK57" s="83"/>
      <c r="AL57" s="83"/>
      <c r="AM57" s="93"/>
      <c r="AN57" s="93"/>
      <c r="AO57" s="93"/>
      <c r="AP57" s="93"/>
      <c r="AQ57" s="93"/>
    </row>
    <row r="58" spans="2:43" s="19" customFormat="1" x14ac:dyDescent="0.25">
      <c r="B58" s="21"/>
      <c r="C58" s="20"/>
      <c r="D58" s="20"/>
      <c r="E58" s="20"/>
      <c r="F58" s="96"/>
      <c r="G58" s="96"/>
      <c r="H58" s="97"/>
      <c r="I58" s="97"/>
      <c r="J58" s="97"/>
      <c r="K58" s="97"/>
      <c r="L58" s="97"/>
      <c r="M58" s="97"/>
      <c r="N58" s="79"/>
      <c r="O58" s="79"/>
      <c r="P58" s="79"/>
      <c r="Q58" s="80">
        <f>IF(AND(Индексы!B54,Результаты!B55=" ",Результаты!C55=" ",Результаты!D55=" ",Результаты!E55=" "),1,0)</f>
        <v>0</v>
      </c>
      <c r="R58" s="136">
        <f ca="1">SUM(OFFSET(Графики!$E$1,R54+3,0):OFFSET(Графики!$E$1,30,0))</f>
        <v>0</v>
      </c>
      <c r="S58" s="136">
        <f ca="1">SUM(OFFSET(Графики!$E$1,S54+3,0):OFFSET(Графики!$E$1,30,0))</f>
        <v>0</v>
      </c>
      <c r="T58" s="136">
        <f ca="1">SUM(OFFSET(Графики!$E$1,R56,0):OFFSET(Графики!$E$1,S56-4,0))</f>
        <v>0</v>
      </c>
      <c r="U58" s="136">
        <f ca="1">SUM(OFFSET(Графики!$E$1,U54+3,0):OFFSET(Графики!$E$1,30,0))</f>
        <v>0</v>
      </c>
      <c r="V58" s="136">
        <f ca="1">SUM(OFFSET(Графики!$E$1,R56,0):OFFSET(Графики!$E$1,U56-4,0))</f>
        <v>17</v>
      </c>
      <c r="W58" s="136">
        <f ca="1">SUM(OFFSET(Графики!$E$1,1,0):OFFSET(Графики!$E$1,W56-4,0))</f>
        <v>17</v>
      </c>
      <c r="X58" s="133" t="s">
        <v>100</v>
      </c>
      <c r="Y58" s="79"/>
      <c r="Z58" s="83"/>
      <c r="AA58" s="83"/>
      <c r="AB58" s="83"/>
      <c r="AC58" s="83"/>
      <c r="AD58" s="83"/>
      <c r="AE58" s="83"/>
      <c r="AF58" s="83"/>
      <c r="AG58" s="83"/>
      <c r="AH58" s="83"/>
      <c r="AI58" s="83"/>
      <c r="AJ58" s="83"/>
      <c r="AK58" s="83"/>
      <c r="AL58" s="83"/>
      <c r="AM58" s="93"/>
      <c r="AN58" s="93"/>
      <c r="AO58" s="93"/>
      <c r="AP58" s="93"/>
      <c r="AQ58" s="93"/>
    </row>
    <row r="59" spans="2:43" s="19" customFormat="1" ht="19.95" customHeight="1" x14ac:dyDescent="0.25">
      <c r="B59" s="22"/>
      <c r="C59" s="22"/>
      <c r="D59" s="22"/>
      <c r="E59" s="22"/>
      <c r="F59" s="103"/>
      <c r="G59" s="103"/>
      <c r="H59" s="103"/>
      <c r="I59" s="103"/>
      <c r="J59" s="103"/>
      <c r="K59" s="103"/>
      <c r="L59" s="97"/>
      <c r="M59" s="97"/>
      <c r="N59" s="79"/>
      <c r="O59" s="79"/>
      <c r="P59" s="79"/>
      <c r="Q59" s="80">
        <f>IF(AND(Индексы!B54,Результаты!B55=" ",Результаты!C55=" ",Результаты!D55=" ",Результаты!E55=" "),1,0)</f>
        <v>0</v>
      </c>
      <c r="R59" s="136">
        <f ca="1">SUM(OFFSET(Графики!$E$1,R54,0):OFFSET(Графики!$E$1,R54+2,0))</f>
        <v>0</v>
      </c>
      <c r="S59" s="136">
        <f ca="1">SUM(OFFSET(Графики!$E$1,S54,0):OFFSET(Графики!$E$1,S54+2,0))</f>
        <v>0</v>
      </c>
      <c r="T59" s="136">
        <f ca="1">SUM(OFFSET(Графики!$E$1,S56-3,0):OFFSET(Графики!$E$1,S56-1,0))</f>
        <v>0</v>
      </c>
      <c r="U59" s="136">
        <f ca="1">SUM(OFFSET(Графики!$E$1,U54,0):OFFSET(Графики!$E$1,U54+2,0))</f>
        <v>0</v>
      </c>
      <c r="V59" s="136">
        <f ca="1">SUM(OFFSET(Графики!$E$1,U56-3,0):OFFSET(Графики!$E$1,U56-1,0))</f>
        <v>13</v>
      </c>
      <c r="W59" s="136">
        <f ca="1">SUM(OFFSET(Графики!$E$1,W56-3,0):OFFSET(Графики!$E$1,W56-1,0))</f>
        <v>13</v>
      </c>
      <c r="X59" s="133" t="s">
        <v>113</v>
      </c>
      <c r="Y59" s="79"/>
      <c r="Z59" s="83"/>
      <c r="AA59" s="83"/>
      <c r="AB59" s="83"/>
      <c r="AC59" s="83"/>
      <c r="AD59" s="83"/>
      <c r="AE59" s="83"/>
      <c r="AF59" s="83"/>
      <c r="AG59" s="83"/>
      <c r="AH59" s="83"/>
      <c r="AI59" s="83"/>
      <c r="AJ59" s="83"/>
      <c r="AK59" s="83"/>
      <c r="AL59" s="83"/>
      <c r="AM59" s="93"/>
      <c r="AN59" s="93"/>
      <c r="AO59" s="93"/>
      <c r="AP59" s="93"/>
      <c r="AQ59" s="93"/>
    </row>
    <row r="60" spans="2:43" ht="19.95" customHeight="1" x14ac:dyDescent="0.25">
      <c r="B60" s="22"/>
      <c r="C60" s="22"/>
      <c r="D60" s="22"/>
      <c r="E60" s="22"/>
      <c r="F60" s="103"/>
      <c r="G60" s="103"/>
      <c r="H60" s="103"/>
      <c r="I60" s="103"/>
      <c r="J60" s="103"/>
      <c r="K60" s="103"/>
      <c r="L60" s="104"/>
      <c r="M60" s="104"/>
      <c r="N60" s="79"/>
      <c r="O60" s="79"/>
      <c r="P60" s="79"/>
      <c r="Q60" s="80">
        <f>IF(AND(Индексы!B55,Результаты!B56=" ",Результаты!C56=" ",Результаты!D56=" ",Результаты!E56=" "),1,0)</f>
        <v>0</v>
      </c>
      <c r="R60" s="79"/>
      <c r="S60" s="79"/>
      <c r="T60" s="79"/>
      <c r="U60" s="79"/>
      <c r="V60" s="125"/>
      <c r="W60" s="79"/>
      <c r="X60" s="79"/>
      <c r="Y60" s="81"/>
    </row>
    <row r="61" spans="2:43" ht="19.95" customHeight="1" x14ac:dyDescent="0.25">
      <c r="B61" s="22"/>
      <c r="C61" s="22"/>
      <c r="D61" s="22"/>
      <c r="E61" s="22"/>
      <c r="F61" s="103"/>
      <c r="G61" s="103"/>
      <c r="H61" s="103"/>
      <c r="I61" s="103"/>
      <c r="J61" s="103"/>
      <c r="K61" s="103"/>
      <c r="L61" s="104"/>
      <c r="M61" s="104"/>
      <c r="N61" s="79"/>
      <c r="O61" s="79"/>
      <c r="P61" s="79"/>
      <c r="Q61" s="80">
        <f>IF(AND(Индексы!B56,Результаты!B57=" ",Результаты!C57=" ",Результаты!D57=" ",Результаты!E57=" "),1,0)</f>
        <v>0</v>
      </c>
      <c r="R61" s="79"/>
      <c r="S61" s="79"/>
      <c r="T61" s="79"/>
      <c r="U61" s="79"/>
      <c r="V61" s="125"/>
      <c r="W61" s="79"/>
      <c r="X61" s="79"/>
      <c r="Y61" s="81"/>
    </row>
    <row r="62" spans="2:43" ht="19.95" customHeight="1" x14ac:dyDescent="0.25">
      <c r="B62" s="22"/>
      <c r="C62" s="22"/>
      <c r="D62" s="22"/>
      <c r="E62" s="22"/>
      <c r="F62" s="103"/>
      <c r="G62" s="103"/>
      <c r="H62" s="103"/>
      <c r="I62" s="103"/>
      <c r="J62" s="103"/>
      <c r="K62" s="103"/>
      <c r="L62" s="104"/>
      <c r="M62" s="104"/>
      <c r="N62" s="79"/>
      <c r="O62" s="79"/>
      <c r="P62" s="79"/>
      <c r="Q62" s="80">
        <f>IF(AND(Индексы!B57,Результаты!B58=" ",Результаты!C58=" ",Результаты!D58=" ",Результаты!E58=" "),1,0)</f>
        <v>0</v>
      </c>
      <c r="R62" s="79"/>
      <c r="S62" s="79"/>
      <c r="T62" s="79"/>
      <c r="U62" s="79"/>
      <c r="V62" s="125"/>
      <c r="W62" s="79"/>
      <c r="X62" s="79"/>
      <c r="Y62" s="81"/>
    </row>
    <row r="63" spans="2:43" ht="19.95" customHeight="1" x14ac:dyDescent="0.25">
      <c r="B63" s="22"/>
      <c r="C63" s="22"/>
      <c r="D63" s="22"/>
      <c r="E63" s="22"/>
      <c r="F63" s="103"/>
      <c r="G63" s="103"/>
      <c r="H63" s="103"/>
      <c r="I63" s="103"/>
      <c r="J63" s="103"/>
      <c r="K63" s="103"/>
      <c r="L63" s="104"/>
      <c r="M63" s="104"/>
      <c r="N63" s="79"/>
      <c r="O63" s="79"/>
      <c r="P63" s="79"/>
      <c r="Q63" s="80">
        <f>IF(AND(Индексы!B58,Результаты!B59=" ",Результаты!C59=" ",Результаты!D59=" ",Результаты!E59=" "),1,0)</f>
        <v>0</v>
      </c>
      <c r="R63" s="79"/>
      <c r="S63" s="79"/>
      <c r="T63" s="79"/>
      <c r="U63" s="79"/>
      <c r="V63" s="125"/>
      <c r="W63" s="79"/>
      <c r="X63" s="79"/>
      <c r="Y63" s="81"/>
    </row>
    <row r="64" spans="2:43" ht="19.95" customHeight="1" x14ac:dyDescent="0.25">
      <c r="B64" s="22"/>
      <c r="C64" s="22"/>
      <c r="D64" s="22"/>
      <c r="E64" s="22"/>
      <c r="F64" s="103"/>
      <c r="G64" s="103"/>
      <c r="H64" s="103"/>
      <c r="I64" s="103"/>
      <c r="J64" s="103"/>
      <c r="K64" s="103"/>
      <c r="L64" s="104"/>
      <c r="M64" s="104"/>
      <c r="N64" s="79"/>
      <c r="O64" s="79"/>
      <c r="P64" s="79"/>
      <c r="Q64" s="80">
        <f>IF(AND(Индексы!B59,Результаты!B60=" ",Результаты!C60=" ",Результаты!D60=" ",Результаты!E60=" "),1,0)</f>
        <v>0</v>
      </c>
      <c r="R64" s="79"/>
      <c r="S64" s="79"/>
      <c r="T64" s="79"/>
      <c r="U64" s="79"/>
      <c r="V64" s="125"/>
      <c r="W64" s="79"/>
      <c r="X64" s="79"/>
      <c r="Y64" s="81"/>
    </row>
    <row r="65" spans="2:25" ht="19.95" customHeight="1" x14ac:dyDescent="0.25">
      <c r="B65" s="22"/>
      <c r="C65" s="22"/>
      <c r="D65" s="22"/>
      <c r="E65" s="22"/>
      <c r="F65" s="103"/>
      <c r="G65" s="103"/>
      <c r="H65" s="103"/>
      <c r="I65" s="103"/>
      <c r="J65" s="103"/>
      <c r="K65" s="103"/>
      <c r="L65" s="104"/>
      <c r="M65" s="104"/>
      <c r="N65" s="79"/>
      <c r="O65" s="79"/>
      <c r="P65" s="79"/>
      <c r="Q65" s="80">
        <f>IF(AND(Индексы!B60,Результаты!B61=" ",Результаты!C61=" ",Результаты!D61=" ",Результаты!E61=" "),1,0)</f>
        <v>0</v>
      </c>
      <c r="R65" s="79"/>
      <c r="S65" s="79"/>
      <c r="T65" s="79"/>
      <c r="U65" s="79"/>
      <c r="V65" s="125"/>
      <c r="W65" s="79"/>
      <c r="X65" s="79"/>
      <c r="Y65" s="81"/>
    </row>
    <row r="66" spans="2:25" ht="19.95" customHeight="1" x14ac:dyDescent="0.25">
      <c r="B66" s="22"/>
      <c r="C66" s="22"/>
      <c r="D66" s="22"/>
      <c r="E66" s="22"/>
      <c r="F66" s="103"/>
      <c r="G66" s="103"/>
      <c r="H66" s="103"/>
      <c r="I66" s="103"/>
      <c r="J66" s="103"/>
      <c r="K66" s="103"/>
      <c r="L66" s="104"/>
      <c r="M66" s="104"/>
      <c r="N66" s="79"/>
      <c r="O66" s="79"/>
      <c r="P66" s="79"/>
      <c r="Q66" s="80">
        <f>IF(AND(Индексы!B61,Результаты!B62=" ",Результаты!C62=" ",Результаты!D62=" ",Результаты!E62=" "),1,0)</f>
        <v>0</v>
      </c>
      <c r="R66" s="79"/>
      <c r="S66" s="79"/>
      <c r="T66" s="79"/>
      <c r="U66" s="79"/>
      <c r="V66" s="125"/>
      <c r="W66" s="79"/>
      <c r="X66" s="79"/>
      <c r="Y66" s="81"/>
    </row>
    <row r="67" spans="2:25" ht="19.95" customHeight="1" x14ac:dyDescent="0.25">
      <c r="B67" s="22"/>
      <c r="C67" s="22"/>
      <c r="D67" s="22"/>
      <c r="E67" s="22"/>
      <c r="F67" s="103"/>
      <c r="G67" s="103"/>
      <c r="H67" s="103"/>
      <c r="I67" s="103"/>
      <c r="J67" s="103"/>
      <c r="K67" s="103"/>
      <c r="L67" s="104"/>
      <c r="M67" s="104"/>
      <c r="N67" s="79"/>
      <c r="O67" s="79"/>
      <c r="P67" s="79"/>
      <c r="Q67" s="80">
        <f>IF(AND(Индексы!B62,Результаты!B63=" ",Результаты!C63=" ",Результаты!D63=" ",Результаты!E63=" "),1,0)</f>
        <v>0</v>
      </c>
      <c r="R67" s="79"/>
      <c r="S67" s="79"/>
      <c r="T67" s="79"/>
      <c r="U67" s="79"/>
      <c r="V67" s="125"/>
      <c r="W67" s="79"/>
      <c r="X67" s="79"/>
      <c r="Y67" s="81"/>
    </row>
    <row r="68" spans="2:25" ht="12.45" customHeight="1" x14ac:dyDescent="0.25">
      <c r="B68" s="22"/>
      <c r="C68" s="22"/>
      <c r="D68" s="22"/>
      <c r="E68" s="22"/>
      <c r="F68" s="87"/>
      <c r="G68" s="87"/>
      <c r="H68" s="87"/>
      <c r="I68" s="87"/>
      <c r="J68" s="87"/>
      <c r="K68" s="87"/>
      <c r="N68" s="79"/>
      <c r="O68" s="79"/>
      <c r="P68" s="79"/>
      <c r="Q68" s="80">
        <f>IF(AND(Индексы!B63,Результаты!B64=" ",Результаты!C64=" ",Результаты!D64=" ",Результаты!E64=" "),1,0)</f>
        <v>0</v>
      </c>
      <c r="R68" s="79"/>
      <c r="S68" s="79"/>
      <c r="T68" s="79"/>
      <c r="U68" s="79"/>
      <c r="V68" s="125"/>
      <c r="W68" s="79"/>
      <c r="X68" s="79"/>
      <c r="Y68" s="81"/>
    </row>
    <row r="69" spans="2:25" ht="12.45" customHeight="1" x14ac:dyDescent="0.25">
      <c r="B69" s="22"/>
      <c r="C69" s="22"/>
      <c r="D69" s="22"/>
      <c r="E69" s="22"/>
      <c r="F69" s="87"/>
      <c r="G69" s="87"/>
      <c r="H69" s="87"/>
      <c r="N69" s="79"/>
      <c r="O69" s="79"/>
      <c r="P69" s="79"/>
      <c r="Q69" s="80">
        <f>IF(AND(Индексы!B64,Результаты!B65=" ",Результаты!C65=" ",Результаты!D65=" ",Результаты!E65=" "),1,0)</f>
        <v>0</v>
      </c>
      <c r="R69" s="79"/>
      <c r="S69" s="79"/>
      <c r="T69" s="79"/>
      <c r="U69" s="79"/>
      <c r="V69" s="125"/>
      <c r="W69" s="79"/>
      <c r="X69" s="79"/>
      <c r="Y69" s="81"/>
    </row>
    <row r="70" spans="2:25" ht="12.45" customHeight="1" x14ac:dyDescent="0.25">
      <c r="B70" s="22"/>
      <c r="C70" s="22"/>
      <c r="D70" s="22"/>
      <c r="E70" s="22"/>
      <c r="F70" s="87"/>
      <c r="G70" s="87"/>
      <c r="H70" s="87"/>
      <c r="N70" s="79"/>
      <c r="O70" s="79"/>
      <c r="P70" s="79"/>
      <c r="Q70" s="80">
        <f>IF(AND(Индексы!B65,Результаты!B66=" ",Результаты!C66=" ",Результаты!D66=" ",Результаты!E66=" "),1,0)</f>
        <v>0</v>
      </c>
      <c r="R70" s="79"/>
      <c r="S70" s="79"/>
      <c r="T70" s="79"/>
      <c r="U70" s="79"/>
      <c r="V70" s="125"/>
      <c r="W70" s="79"/>
      <c r="X70" s="79"/>
      <c r="Y70" s="81"/>
    </row>
    <row r="71" spans="2:25" ht="12.45" customHeight="1" x14ac:dyDescent="0.25">
      <c r="B71" s="22"/>
      <c r="C71" s="22"/>
      <c r="D71" s="22"/>
      <c r="E71" s="22"/>
      <c r="F71" s="87"/>
      <c r="G71" s="87"/>
      <c r="H71" s="87"/>
      <c r="N71" s="79"/>
      <c r="O71" s="79"/>
      <c r="P71" s="79"/>
      <c r="Q71" s="80">
        <f>IF(AND(Индексы!B66,Результаты!B67=" ",Результаты!C67=" ",Результаты!D67=" ",Результаты!E67=" "),1,0)</f>
        <v>0</v>
      </c>
      <c r="R71" s="79"/>
      <c r="S71" s="79"/>
      <c r="T71" s="79"/>
      <c r="U71" s="79"/>
      <c r="V71" s="125"/>
      <c r="W71" s="79"/>
      <c r="X71" s="79"/>
      <c r="Y71" s="81"/>
    </row>
    <row r="72" spans="2:25" ht="12.45" customHeight="1" x14ac:dyDescent="0.25">
      <c r="B72" s="22"/>
      <c r="C72" s="22"/>
      <c r="D72" s="22"/>
      <c r="E72" s="22"/>
      <c r="F72" s="87"/>
      <c r="G72" s="87"/>
      <c r="H72" s="87"/>
      <c r="N72" s="79"/>
      <c r="O72" s="79"/>
      <c r="P72" s="79"/>
      <c r="Q72" s="80">
        <f>IF(AND(Индексы!B67,Результаты!B68=" ",Результаты!C68=" ",Результаты!D68=" ",Результаты!E68=" "),1,0)</f>
        <v>0</v>
      </c>
      <c r="R72" s="79"/>
      <c r="S72" s="79"/>
      <c r="T72" s="79"/>
      <c r="U72" s="79"/>
      <c r="V72" s="125"/>
      <c r="W72" s="79"/>
      <c r="X72" s="79"/>
      <c r="Y72" s="81"/>
    </row>
    <row r="73" spans="2:25" ht="12.45" customHeight="1" x14ac:dyDescent="0.25">
      <c r="B73" s="22"/>
      <c r="C73" s="22"/>
      <c r="D73" s="22"/>
      <c r="E73" s="22"/>
      <c r="F73" s="87"/>
      <c r="G73" s="87"/>
      <c r="H73" s="87"/>
      <c r="N73" s="79"/>
      <c r="O73" s="79"/>
      <c r="P73" s="79"/>
      <c r="Q73" s="80">
        <f>IF(AND(Индексы!B68,Результаты!B69=" ",Результаты!C69=" ",Результаты!D69=" ",Результаты!E69=" "),1,0)</f>
        <v>0</v>
      </c>
      <c r="R73" s="79"/>
      <c r="S73" s="79"/>
      <c r="T73" s="79"/>
      <c r="U73" s="79"/>
      <c r="V73" s="125"/>
      <c r="W73" s="79"/>
      <c r="X73" s="79"/>
      <c r="Y73" s="81"/>
    </row>
    <row r="74" spans="2:25" ht="12.45" customHeight="1" x14ac:dyDescent="0.25">
      <c r="B74" s="22"/>
      <c r="C74" s="22"/>
      <c r="D74" s="22"/>
      <c r="E74" s="22"/>
      <c r="F74" s="87"/>
      <c r="G74" s="87"/>
      <c r="H74" s="87"/>
      <c r="N74" s="79"/>
      <c r="O74" s="79"/>
      <c r="P74" s="79"/>
      <c r="Q74" s="80">
        <f>IF(AND(Индексы!B69,Результаты!B70=" ",Результаты!C70=" ",Результаты!D70=" ",Результаты!E70=" "),1,0)</f>
        <v>0</v>
      </c>
      <c r="R74" s="79"/>
      <c r="S74" s="79"/>
      <c r="T74" s="79"/>
      <c r="U74" s="79"/>
      <c r="V74" s="125"/>
      <c r="W74" s="79"/>
      <c r="X74" s="79"/>
      <c r="Y74" s="81"/>
    </row>
    <row r="75" spans="2:25" ht="12.45" customHeight="1" x14ac:dyDescent="0.25">
      <c r="B75" s="22"/>
      <c r="C75" s="22"/>
      <c r="D75" s="22"/>
      <c r="E75" s="22"/>
      <c r="F75" s="87"/>
      <c r="G75" s="87"/>
      <c r="H75" s="87"/>
      <c r="N75" s="79"/>
      <c r="O75" s="79"/>
      <c r="P75" s="79"/>
      <c r="Q75" s="80">
        <f>IF(AND(Индексы!B70,Результаты!B71=" ",Результаты!C71=" ",Результаты!D71=" ",Результаты!E71=" "),1,0)</f>
        <v>0</v>
      </c>
      <c r="R75" s="79"/>
      <c r="S75" s="79"/>
      <c r="T75" s="79"/>
      <c r="U75" s="79"/>
      <c r="V75" s="125"/>
      <c r="W75" s="79"/>
      <c r="X75" s="79"/>
      <c r="Y75" s="81"/>
    </row>
    <row r="76" spans="2:25" ht="12.45" customHeight="1" x14ac:dyDescent="0.25">
      <c r="B76" s="22"/>
      <c r="C76" s="22"/>
      <c r="D76" s="22"/>
      <c r="E76" s="22"/>
      <c r="F76" s="87"/>
      <c r="G76" s="87"/>
      <c r="H76" s="87"/>
      <c r="N76" s="79"/>
      <c r="O76" s="79"/>
      <c r="P76" s="79"/>
      <c r="Q76" s="80">
        <f>IF(AND(Индексы!B71,Результаты!B72=" ",Результаты!C72=" ",Результаты!D72=" ",Результаты!E72=" "),1,0)</f>
        <v>0</v>
      </c>
      <c r="R76" s="79"/>
      <c r="S76" s="79"/>
      <c r="T76" s="79"/>
      <c r="U76" s="79"/>
      <c r="V76" s="125"/>
      <c r="W76" s="79"/>
      <c r="X76" s="79"/>
      <c r="Y76" s="81"/>
    </row>
    <row r="77" spans="2:25" ht="12.45" customHeight="1" x14ac:dyDescent="0.25">
      <c r="B77" s="22"/>
      <c r="C77" s="22"/>
      <c r="D77" s="22"/>
      <c r="E77" s="22"/>
      <c r="F77" s="87"/>
      <c r="G77" s="87"/>
      <c r="H77" s="87"/>
      <c r="N77" s="79"/>
      <c r="O77" s="79"/>
      <c r="P77" s="79"/>
      <c r="Q77" s="80">
        <f>IF(AND(Индексы!B72,Результаты!B73=" ",Результаты!C73=" ",Результаты!D73=" ",Результаты!E73=" "),1,0)</f>
        <v>0</v>
      </c>
      <c r="R77" s="79"/>
      <c r="S77" s="79"/>
      <c r="T77" s="79"/>
      <c r="U77" s="79"/>
      <c r="V77" s="125"/>
      <c r="W77" s="79"/>
      <c r="X77" s="79"/>
      <c r="Y77" s="81"/>
    </row>
    <row r="78" spans="2:25" ht="12.45" customHeight="1" x14ac:dyDescent="0.25">
      <c r="B78" s="22"/>
      <c r="C78" s="22"/>
      <c r="D78" s="22"/>
      <c r="E78" s="22"/>
      <c r="F78" s="87"/>
      <c r="G78" s="87"/>
      <c r="H78" s="87"/>
      <c r="N78" s="79"/>
      <c r="O78" s="79"/>
      <c r="P78" s="79"/>
      <c r="Q78" s="80">
        <f>IF(AND(Индексы!B73,Результаты!B74=" ",Результаты!C74=" ",Результаты!D74=" ",Результаты!E74=" "),1,0)</f>
        <v>0</v>
      </c>
      <c r="R78" s="79"/>
      <c r="S78" s="79"/>
      <c r="T78" s="79"/>
      <c r="U78" s="79"/>
      <c r="V78" s="125"/>
      <c r="W78" s="79"/>
      <c r="X78" s="79"/>
      <c r="Y78" s="81"/>
    </row>
    <row r="79" spans="2:25" ht="12.45" customHeight="1" x14ac:dyDescent="0.25">
      <c r="B79" s="22"/>
      <c r="C79" s="22"/>
      <c r="D79" s="22"/>
      <c r="E79" s="22"/>
      <c r="F79" s="87"/>
      <c r="G79" s="87"/>
      <c r="H79" s="87"/>
      <c r="N79" s="79"/>
      <c r="O79" s="79"/>
      <c r="P79" s="79"/>
      <c r="Q79" s="80">
        <f>IF(AND(Индексы!B74,Результаты!B75=" ",Результаты!C75=" ",Результаты!D75=" ",Результаты!E75=" "),1,0)</f>
        <v>0</v>
      </c>
      <c r="R79" s="79"/>
      <c r="S79" s="79"/>
      <c r="T79" s="79"/>
      <c r="U79" s="79"/>
      <c r="V79" s="125"/>
      <c r="W79" s="79"/>
      <c r="X79" s="79"/>
      <c r="Y79" s="81"/>
    </row>
    <row r="80" spans="2:25" ht="12.45" customHeight="1" x14ac:dyDescent="0.25">
      <c r="B80" s="22"/>
      <c r="C80" s="22"/>
      <c r="D80" s="22"/>
      <c r="E80" s="22"/>
      <c r="F80" s="87"/>
      <c r="G80" s="87"/>
      <c r="H80" s="87"/>
      <c r="N80" s="79"/>
      <c r="O80" s="79"/>
      <c r="P80" s="79"/>
      <c r="Q80" s="80">
        <f>IF(AND(Индексы!B75,Результаты!B76=" ",Результаты!C76=" ",Результаты!D76=" ",Результаты!E76=" "),1,0)</f>
        <v>0</v>
      </c>
      <c r="R80" s="79"/>
      <c r="S80" s="79"/>
      <c r="T80" s="79"/>
      <c r="U80" s="79"/>
      <c r="V80" s="125"/>
      <c r="W80" s="79"/>
      <c r="X80" s="79"/>
      <c r="Y80" s="81"/>
    </row>
    <row r="81" spans="2:25" ht="12.45" customHeight="1" x14ac:dyDescent="0.25">
      <c r="B81" s="22"/>
      <c r="C81" s="22"/>
      <c r="D81" s="22"/>
      <c r="E81" s="22"/>
      <c r="F81" s="87"/>
      <c r="G81" s="87"/>
      <c r="H81" s="87"/>
      <c r="N81" s="79"/>
      <c r="O81" s="79"/>
      <c r="P81" s="79"/>
      <c r="Q81" s="80">
        <f>IF(AND(Индексы!B76,Результаты!B77=" ",Результаты!C77=" ",Результаты!D77=" ",Результаты!E77=" "),1,0)</f>
        <v>0</v>
      </c>
      <c r="R81" s="79"/>
      <c r="S81" s="79"/>
      <c r="T81" s="79"/>
      <c r="U81" s="79"/>
      <c r="V81" s="125"/>
      <c r="W81" s="79"/>
      <c r="X81" s="79"/>
      <c r="Y81" s="81"/>
    </row>
    <row r="82" spans="2:25" ht="12.45" customHeight="1" x14ac:dyDescent="0.25">
      <c r="B82" s="22"/>
      <c r="C82" s="22"/>
      <c r="D82" s="22"/>
      <c r="E82" s="22"/>
      <c r="F82" s="87"/>
      <c r="G82" s="87"/>
      <c r="H82" s="87"/>
      <c r="N82" s="79"/>
      <c r="O82" s="79"/>
      <c r="P82" s="79"/>
      <c r="Q82" s="80">
        <f>IF(AND(Индексы!B77,Результаты!B78=" ",Результаты!C78=" ",Результаты!D78=" ",Результаты!E78=" "),1,0)</f>
        <v>0</v>
      </c>
      <c r="R82" s="79"/>
      <c r="S82" s="79"/>
      <c r="T82" s="79"/>
      <c r="U82" s="79"/>
      <c r="V82" s="125"/>
      <c r="W82" s="79"/>
      <c r="X82" s="79"/>
      <c r="Y82" s="81"/>
    </row>
    <row r="83" spans="2:25" ht="12.45" customHeight="1" x14ac:dyDescent="0.25">
      <c r="B83" s="22"/>
      <c r="C83" s="22"/>
      <c r="D83" s="22"/>
      <c r="E83" s="22"/>
      <c r="F83" s="87"/>
      <c r="G83" s="87"/>
      <c r="H83" s="87"/>
      <c r="N83" s="79"/>
      <c r="O83" s="79"/>
      <c r="P83" s="79"/>
      <c r="Q83" s="80">
        <f>IF(AND(Индексы!B78,Результаты!B79=" ",Результаты!C79=" ",Результаты!D79=" ",Результаты!E79=" "),1,0)</f>
        <v>0</v>
      </c>
      <c r="R83" s="79"/>
      <c r="S83" s="79"/>
      <c r="T83" s="79"/>
      <c r="U83" s="79"/>
      <c r="V83" s="125"/>
      <c r="W83" s="79"/>
      <c r="X83" s="79"/>
      <c r="Y83" s="81"/>
    </row>
    <row r="84" spans="2:25" ht="12.45" customHeight="1" x14ac:dyDescent="0.25">
      <c r="B84" s="22"/>
      <c r="C84" s="22"/>
      <c r="D84" s="22"/>
      <c r="E84" s="22"/>
      <c r="F84" s="87"/>
      <c r="G84" s="87"/>
      <c r="H84" s="87"/>
      <c r="N84" s="79"/>
      <c r="O84" s="79"/>
      <c r="P84" s="79"/>
      <c r="Q84" s="80">
        <f>IF(AND(Индексы!B79,Результаты!B80=" ",Результаты!C80=" ",Результаты!D80=" ",Результаты!E80=" "),1,0)</f>
        <v>0</v>
      </c>
      <c r="R84" s="79"/>
      <c r="S84" s="79"/>
      <c r="T84" s="79"/>
      <c r="U84" s="79"/>
      <c r="V84" s="125"/>
      <c r="W84" s="79"/>
      <c r="X84" s="79"/>
      <c r="Y84" s="81"/>
    </row>
    <row r="85" spans="2:25" ht="12.45" customHeight="1" x14ac:dyDescent="0.25">
      <c r="B85" s="22"/>
      <c r="C85" s="22"/>
      <c r="D85" s="22"/>
      <c r="E85" s="22"/>
      <c r="F85" s="87"/>
      <c r="G85" s="87"/>
      <c r="H85" s="87"/>
      <c r="N85" s="79"/>
      <c r="O85" s="79"/>
      <c r="P85" s="79"/>
      <c r="Q85" s="80">
        <f>IF(AND(Индексы!B80,Результаты!B81=" ",Результаты!C81=" ",Результаты!D81=" ",Результаты!E81=" "),1,0)</f>
        <v>0</v>
      </c>
      <c r="R85" s="79"/>
      <c r="S85" s="79"/>
      <c r="T85" s="79"/>
      <c r="U85" s="79"/>
      <c r="V85" s="125"/>
      <c r="W85" s="79"/>
      <c r="X85" s="79"/>
      <c r="Y85" s="81"/>
    </row>
    <row r="86" spans="2:25" ht="12.45" customHeight="1" x14ac:dyDescent="0.25">
      <c r="B86" s="22"/>
      <c r="C86" s="22"/>
      <c r="D86" s="22"/>
      <c r="E86" s="22"/>
      <c r="F86" s="87"/>
      <c r="G86" s="87"/>
      <c r="H86" s="87"/>
      <c r="N86" s="79"/>
      <c r="O86" s="79"/>
      <c r="P86" s="79"/>
      <c r="Q86" s="80">
        <f>IF(AND(Индексы!B81,Результаты!B82=" ",Результаты!C82=" ",Результаты!D82=" ",Результаты!E82=" "),1,0)</f>
        <v>0</v>
      </c>
      <c r="R86" s="79"/>
      <c r="S86" s="79"/>
      <c r="T86" s="79"/>
      <c r="U86" s="79"/>
      <c r="V86" s="125"/>
      <c r="W86" s="79"/>
      <c r="X86" s="79"/>
      <c r="Y86" s="81"/>
    </row>
    <row r="87" spans="2:25" ht="12.45" customHeight="1" x14ac:dyDescent="0.25">
      <c r="B87" s="22"/>
      <c r="C87" s="22"/>
      <c r="D87" s="22"/>
      <c r="E87" s="22"/>
      <c r="F87" s="87"/>
      <c r="G87" s="87"/>
      <c r="H87" s="87"/>
      <c r="N87" s="79"/>
      <c r="O87" s="79"/>
      <c r="P87" s="79"/>
      <c r="Q87" s="80">
        <f>IF(AND(Индексы!B82,Результаты!B83=" ",Результаты!C83=" ",Результаты!D83=" ",Результаты!E83=" "),1,0)</f>
        <v>0</v>
      </c>
      <c r="R87" s="79"/>
      <c r="S87" s="79"/>
      <c r="T87" s="79"/>
      <c r="U87" s="79"/>
      <c r="V87" s="125"/>
      <c r="W87" s="79"/>
      <c r="X87" s="79"/>
      <c r="Y87" s="81"/>
    </row>
    <row r="88" spans="2:25" ht="12.45" customHeight="1" x14ac:dyDescent="0.25">
      <c r="B88" s="22"/>
      <c r="C88" s="22"/>
      <c r="D88" s="22"/>
      <c r="E88" s="22"/>
      <c r="F88" s="87"/>
      <c r="G88" s="87"/>
      <c r="H88" s="87"/>
      <c r="N88" s="79"/>
      <c r="O88" s="79"/>
      <c r="P88" s="79"/>
      <c r="Q88" s="80">
        <f>IF(AND(Индексы!B83,Результаты!B84=" ",Результаты!C84=" ",Результаты!D84=" ",Результаты!E84=" "),1,0)</f>
        <v>0</v>
      </c>
      <c r="R88" s="79"/>
      <c r="S88" s="79"/>
      <c r="T88" s="79"/>
      <c r="U88" s="79"/>
      <c r="V88" s="125"/>
      <c r="W88" s="79"/>
      <c r="X88" s="79"/>
      <c r="Y88" s="81"/>
    </row>
    <row r="89" spans="2:25" ht="12.45" customHeight="1" x14ac:dyDescent="0.25">
      <c r="B89" s="22"/>
      <c r="C89" s="22"/>
      <c r="D89" s="22"/>
      <c r="E89" s="22"/>
      <c r="F89" s="87"/>
      <c r="G89" s="87"/>
      <c r="H89" s="87"/>
      <c r="N89" s="79"/>
      <c r="O89" s="79"/>
      <c r="P89" s="79"/>
      <c r="Q89" s="80">
        <f>IF(AND(Индексы!B84,Результаты!B85=" ",Результаты!C85=" ",Результаты!D85=" ",Результаты!E85=" "),1,0)</f>
        <v>0</v>
      </c>
      <c r="R89" s="79"/>
      <c r="S89" s="79"/>
      <c r="T89" s="79"/>
      <c r="U89" s="79"/>
      <c r="V89" s="125"/>
      <c r="W89" s="79"/>
      <c r="X89" s="79"/>
      <c r="Y89" s="81"/>
    </row>
    <row r="90" spans="2:25" x14ac:dyDescent="0.25">
      <c r="N90" s="79"/>
      <c r="O90" s="79"/>
      <c r="P90" s="79"/>
      <c r="Q90" s="80">
        <f>IF(AND(Индексы!B85,Результаты!B86=" ",Результаты!C86=" ",Результаты!D86=" ",Результаты!E86=" "),1,0)</f>
        <v>0</v>
      </c>
      <c r="R90" s="79"/>
      <c r="S90" s="79"/>
      <c r="T90" s="79"/>
      <c r="U90" s="79"/>
      <c r="V90" s="125"/>
      <c r="W90" s="79"/>
      <c r="X90" s="79"/>
      <c r="Y90" s="81"/>
    </row>
    <row r="91" spans="2:25" ht="12.45" customHeight="1" x14ac:dyDescent="0.25">
      <c r="B91" s="19"/>
      <c r="C91" s="19"/>
      <c r="D91" s="19"/>
      <c r="E91" s="19"/>
      <c r="F91" s="83"/>
      <c r="G91" s="83"/>
      <c r="H91" s="83"/>
      <c r="N91" s="79"/>
      <c r="O91" s="79"/>
      <c r="P91" s="79"/>
      <c r="Q91" s="80">
        <f>IF(AND(Индексы!B86,Результаты!B87=" ",Результаты!C87=" ",Результаты!D87=" ",Результаты!E87=" "),1,0)</f>
        <v>0</v>
      </c>
      <c r="R91" s="79"/>
      <c r="S91" s="79"/>
      <c r="T91" s="79"/>
      <c r="U91" s="79"/>
      <c r="V91" s="125"/>
      <c r="W91" s="79"/>
      <c r="X91" s="79"/>
      <c r="Y91" s="81"/>
    </row>
    <row r="92" spans="2:25" ht="12.45" customHeight="1" x14ac:dyDescent="0.25">
      <c r="B92" s="19"/>
      <c r="C92" s="19"/>
      <c r="D92" s="19"/>
      <c r="E92" s="19"/>
      <c r="F92" s="83"/>
      <c r="G92" s="83"/>
      <c r="H92" s="83"/>
      <c r="N92" s="79"/>
      <c r="O92" s="79"/>
      <c r="P92" s="79"/>
      <c r="Q92" s="80">
        <f>IF(AND(Индексы!B87,Результаты!B88=" ",Результаты!C88=" ",Результаты!D88=" ",Результаты!E88=" "),1,0)</f>
        <v>0</v>
      </c>
      <c r="R92" s="79"/>
      <c r="S92" s="79"/>
      <c r="T92" s="79"/>
      <c r="U92" s="79"/>
      <c r="V92" s="125"/>
      <c r="W92" s="79"/>
      <c r="X92" s="79"/>
      <c r="Y92" s="81"/>
    </row>
    <row r="93" spans="2:25" ht="12.45" customHeight="1" x14ac:dyDescent="0.25">
      <c r="B93" s="19"/>
      <c r="C93" s="19"/>
      <c r="D93" s="19"/>
      <c r="E93" s="19"/>
      <c r="F93" s="83"/>
      <c r="G93" s="83"/>
      <c r="H93" s="83"/>
      <c r="N93" s="79"/>
      <c r="O93" s="79"/>
      <c r="P93" s="79"/>
      <c r="Q93" s="80">
        <f>IF(AND(Индексы!B88,Результаты!B89=" ",Результаты!C89=" ",Результаты!D89=" ",Результаты!E89=" "),1,0)</f>
        <v>0</v>
      </c>
      <c r="R93" s="79"/>
      <c r="S93" s="79"/>
      <c r="T93" s="79"/>
      <c r="U93" s="79"/>
      <c r="V93" s="125"/>
      <c r="W93" s="79"/>
      <c r="X93" s="79"/>
      <c r="Y93" s="81"/>
    </row>
    <row r="94" spans="2:25" ht="12.45" customHeight="1" x14ac:dyDescent="0.25">
      <c r="B94" s="19"/>
      <c r="C94" s="19"/>
      <c r="D94" s="19"/>
      <c r="E94" s="19"/>
      <c r="F94" s="83"/>
      <c r="G94" s="83"/>
      <c r="H94" s="83"/>
      <c r="N94" s="79"/>
      <c r="O94" s="79"/>
      <c r="P94" s="79"/>
      <c r="Q94" s="80">
        <f>IF(AND(Индексы!B89,Результаты!B90=" ",Результаты!C90=" ",Результаты!D90=" ",Результаты!E90=" "),1,0)</f>
        <v>0</v>
      </c>
      <c r="R94" s="79"/>
      <c r="S94" s="79"/>
      <c r="T94" s="79"/>
      <c r="U94" s="79"/>
      <c r="V94" s="125"/>
      <c r="W94" s="79"/>
      <c r="X94" s="79"/>
      <c r="Y94" s="81"/>
    </row>
    <row r="95" spans="2:25" ht="12.45" customHeight="1" x14ac:dyDescent="0.25">
      <c r="B95" s="19"/>
      <c r="C95" s="19"/>
      <c r="D95" s="19"/>
      <c r="E95" s="19"/>
      <c r="F95" s="83"/>
      <c r="G95" s="83"/>
      <c r="H95" s="83"/>
      <c r="N95" s="79"/>
      <c r="O95" s="79"/>
      <c r="P95" s="79"/>
      <c r="Q95" s="80">
        <f>IF(AND(Индексы!B90,Результаты!B91=" ",Результаты!C91=" ",Результаты!D91=" ",Результаты!E91=" "),1,0)</f>
        <v>0</v>
      </c>
      <c r="R95" s="79"/>
      <c r="S95" s="79"/>
      <c r="T95" s="79"/>
      <c r="U95" s="79"/>
      <c r="V95" s="125"/>
      <c r="W95" s="79"/>
      <c r="X95" s="79"/>
      <c r="Y95" s="81"/>
    </row>
    <row r="96" spans="2:25" ht="12.45" customHeight="1" x14ac:dyDescent="0.25">
      <c r="B96" s="19"/>
      <c r="C96" s="19"/>
      <c r="D96" s="19"/>
      <c r="E96" s="19"/>
      <c r="F96" s="83"/>
      <c r="G96" s="83"/>
      <c r="H96" s="83"/>
      <c r="N96" s="79"/>
      <c r="O96" s="79"/>
      <c r="P96" s="79"/>
      <c r="Q96" s="80">
        <f>IF(AND(Индексы!B91,Результаты!B92=" ",Результаты!C92=" ",Результаты!D92=" ",Результаты!E92=" "),1,0)</f>
        <v>0</v>
      </c>
      <c r="R96" s="79"/>
      <c r="S96" s="79"/>
      <c r="T96" s="79"/>
      <c r="U96" s="79"/>
      <c r="V96" s="125"/>
      <c r="W96" s="79"/>
      <c r="X96" s="79"/>
      <c r="Y96" s="81"/>
    </row>
    <row r="97" spans="2:25" ht="12.45" customHeight="1" x14ac:dyDescent="0.25">
      <c r="B97" s="19"/>
      <c r="C97" s="19"/>
      <c r="D97" s="19"/>
      <c r="E97" s="19"/>
      <c r="F97" s="83"/>
      <c r="G97" s="83"/>
      <c r="H97" s="83"/>
      <c r="N97" s="79"/>
      <c r="O97" s="79"/>
      <c r="P97" s="79"/>
      <c r="Q97" s="80">
        <f>IF(AND(Индексы!B92,Результаты!B93=" ",Результаты!C93=" ",Результаты!D93=" ",Результаты!E93=" "),1,0)</f>
        <v>0</v>
      </c>
      <c r="R97" s="79"/>
      <c r="S97" s="79"/>
      <c r="T97" s="79"/>
      <c r="U97" s="79"/>
      <c r="V97" s="125"/>
      <c r="W97" s="79"/>
      <c r="X97" s="79"/>
      <c r="Y97" s="81"/>
    </row>
    <row r="98" spans="2:25" ht="12.45" customHeight="1" x14ac:dyDescent="0.25">
      <c r="B98" s="19"/>
      <c r="C98" s="19"/>
      <c r="D98" s="19"/>
      <c r="E98" s="19"/>
      <c r="F98" s="83"/>
      <c r="G98" s="83"/>
      <c r="H98" s="83"/>
      <c r="N98" s="79"/>
      <c r="O98" s="79"/>
      <c r="P98" s="79"/>
      <c r="Q98" s="80">
        <f>IF(AND(Индексы!B93,Результаты!B94=" ",Результаты!C94=" ",Результаты!D94=" ",Результаты!E94=" "),1,0)</f>
        <v>0</v>
      </c>
      <c r="R98" s="79"/>
      <c r="S98" s="79"/>
      <c r="T98" s="79"/>
      <c r="U98" s="79"/>
      <c r="V98" s="125"/>
      <c r="W98" s="79"/>
      <c r="X98" s="79"/>
      <c r="Y98" s="81"/>
    </row>
    <row r="99" spans="2:25" ht="12.45" customHeight="1" x14ac:dyDescent="0.25">
      <c r="B99" s="19"/>
      <c r="C99" s="19"/>
      <c r="D99" s="19"/>
      <c r="E99" s="19"/>
      <c r="F99" s="83"/>
      <c r="G99" s="83"/>
      <c r="H99" s="83"/>
      <c r="N99" s="79"/>
      <c r="O99" s="79"/>
      <c r="P99" s="79"/>
      <c r="Q99" s="80">
        <f>IF(AND(Индексы!B94,Результаты!B95=" ",Результаты!C95=" ",Результаты!D95=" ",Результаты!E95=" "),1,0)</f>
        <v>0</v>
      </c>
      <c r="R99" s="79"/>
      <c r="S99" s="79"/>
      <c r="T99" s="79"/>
      <c r="U99" s="79"/>
      <c r="V99" s="125"/>
      <c r="W99" s="79"/>
      <c r="X99" s="79"/>
      <c r="Y99" s="81"/>
    </row>
    <row r="100" spans="2:25" ht="12.45" customHeight="1" x14ac:dyDescent="0.25">
      <c r="B100" s="19"/>
      <c r="C100" s="19"/>
      <c r="D100" s="19"/>
      <c r="E100" s="19"/>
      <c r="F100" s="83"/>
      <c r="G100" s="83"/>
      <c r="H100" s="83"/>
      <c r="N100" s="79"/>
      <c r="O100" s="79"/>
      <c r="P100" s="79"/>
      <c r="Q100" s="80">
        <f>IF(AND(Индексы!B95,Результаты!B96=" ",Результаты!C96=" ",Результаты!D96=" ",Результаты!E96=" "),1,0)</f>
        <v>0</v>
      </c>
      <c r="R100" s="79"/>
      <c r="S100" s="79"/>
      <c r="T100" s="79"/>
      <c r="U100" s="79"/>
      <c r="V100" s="125"/>
      <c r="W100" s="79"/>
      <c r="X100" s="79"/>
      <c r="Y100" s="81"/>
    </row>
    <row r="101" spans="2:25" ht="12.45" customHeight="1" x14ac:dyDescent="0.25">
      <c r="B101" s="19"/>
      <c r="C101" s="19"/>
      <c r="D101" s="19"/>
      <c r="E101" s="19"/>
      <c r="F101" s="83"/>
      <c r="G101" s="83"/>
      <c r="H101" s="83"/>
      <c r="N101" s="79"/>
      <c r="O101" s="79"/>
      <c r="P101" s="79"/>
      <c r="Q101" s="80">
        <f>IF(AND(Индексы!B96,Результаты!B97=" ",Результаты!C97=" ",Результаты!D97=" ",Результаты!E97=" "),1,0)</f>
        <v>0</v>
      </c>
      <c r="R101" s="79"/>
      <c r="S101" s="79"/>
      <c r="T101" s="79"/>
      <c r="U101" s="79"/>
      <c r="V101" s="125"/>
      <c r="W101" s="79"/>
      <c r="X101" s="79"/>
      <c r="Y101" s="81"/>
    </row>
    <row r="102" spans="2:25" ht="12.45" customHeight="1" x14ac:dyDescent="0.25">
      <c r="B102" s="19"/>
      <c r="C102" s="19"/>
      <c r="D102" s="19"/>
      <c r="E102" s="19"/>
      <c r="F102" s="83"/>
      <c r="G102" s="83"/>
      <c r="H102" s="83"/>
      <c r="N102" s="79"/>
      <c r="O102" s="79"/>
      <c r="P102" s="79"/>
      <c r="Q102" s="80">
        <f>IF(AND(Индексы!B97,Результаты!B98=" ",Результаты!C98=" ",Результаты!D98=" ",Результаты!E98=" "),1,0)</f>
        <v>0</v>
      </c>
      <c r="R102" s="79"/>
      <c r="S102" s="79"/>
      <c r="T102" s="79"/>
      <c r="U102" s="79"/>
      <c r="V102" s="125"/>
      <c r="W102" s="79"/>
      <c r="X102" s="79"/>
      <c r="Y102" s="81"/>
    </row>
    <row r="103" spans="2:25" ht="12.45" customHeight="1" x14ac:dyDescent="0.25">
      <c r="B103" s="19"/>
      <c r="C103" s="19"/>
      <c r="D103" s="19"/>
      <c r="E103" s="19"/>
      <c r="F103" s="83"/>
      <c r="G103" s="83"/>
      <c r="H103" s="83"/>
      <c r="N103" s="79"/>
      <c r="O103" s="79"/>
      <c r="P103" s="79"/>
      <c r="Q103" s="80">
        <f>IF(AND(Индексы!B98,Результаты!B99=" ",Результаты!C99=" ",Результаты!D99=" ",Результаты!E99=" "),1,0)</f>
        <v>0</v>
      </c>
      <c r="R103" s="79"/>
      <c r="S103" s="79"/>
      <c r="T103" s="79"/>
      <c r="U103" s="79"/>
      <c r="V103" s="125"/>
      <c r="W103" s="79"/>
      <c r="X103" s="79"/>
      <c r="Y103" s="81"/>
    </row>
    <row r="104" spans="2:25" ht="12.45" customHeight="1" x14ac:dyDescent="0.25">
      <c r="B104" s="19"/>
      <c r="C104" s="19"/>
      <c r="D104" s="19"/>
      <c r="E104" s="19"/>
      <c r="F104" s="83"/>
      <c r="G104" s="83"/>
      <c r="H104" s="83"/>
      <c r="N104" s="79"/>
      <c r="O104" s="79"/>
      <c r="P104" s="79"/>
      <c r="Q104" s="80">
        <f>IF(AND(Индексы!B99,Результаты!B100=" ",Результаты!C100=" ",Результаты!D100=" ",Результаты!E100=" "),1,0)</f>
        <v>0</v>
      </c>
      <c r="R104" s="79"/>
      <c r="S104" s="79"/>
      <c r="T104" s="79"/>
      <c r="U104" s="79"/>
      <c r="V104" s="125"/>
      <c r="W104" s="79"/>
      <c r="X104" s="79"/>
      <c r="Y104" s="81"/>
    </row>
    <row r="105" spans="2:25" ht="12.45" customHeight="1" x14ac:dyDescent="0.25">
      <c r="B105" s="19"/>
      <c r="C105" s="19"/>
      <c r="D105" s="19"/>
      <c r="E105" s="19"/>
      <c r="F105" s="83"/>
      <c r="G105" s="83"/>
      <c r="H105" s="83"/>
      <c r="N105" s="79"/>
      <c r="O105" s="79"/>
      <c r="P105" s="79"/>
      <c r="Q105" s="80">
        <f>IF(AND(Индексы!B100,Результаты!B101=" ",Результаты!C101=" ",Результаты!D101=" ",Результаты!E101=" "),1,0)</f>
        <v>0</v>
      </c>
      <c r="R105" s="79"/>
      <c r="S105" s="79"/>
      <c r="T105" s="79"/>
      <c r="U105" s="79"/>
      <c r="V105" s="125"/>
      <c r="W105" s="79"/>
      <c r="X105" s="79"/>
      <c r="Y105" s="81"/>
    </row>
    <row r="106" spans="2:25" ht="12.45" customHeight="1" x14ac:dyDescent="0.25">
      <c r="B106" s="19"/>
      <c r="C106" s="19"/>
      <c r="D106" s="19"/>
      <c r="E106" s="19"/>
      <c r="F106" s="83"/>
      <c r="G106" s="83"/>
      <c r="H106" s="83"/>
      <c r="N106" s="79"/>
      <c r="O106" s="79"/>
      <c r="P106" s="79"/>
      <c r="Q106" s="80">
        <f>IF(AND(Индексы!B101,Результаты!B102=" ",Результаты!C102=" ",Результаты!D102=" ",Результаты!E102=" "),1,0)</f>
        <v>0</v>
      </c>
      <c r="R106" s="79"/>
      <c r="S106" s="79"/>
      <c r="T106" s="79"/>
      <c r="U106" s="79"/>
      <c r="V106" s="125"/>
      <c r="W106" s="79"/>
      <c r="X106" s="79"/>
      <c r="Y106" s="81"/>
    </row>
    <row r="107" spans="2:25" ht="12.45" customHeight="1" x14ac:dyDescent="0.25">
      <c r="B107" s="19"/>
      <c r="C107" s="19"/>
      <c r="D107" s="19"/>
      <c r="E107" s="19"/>
      <c r="F107" s="83"/>
      <c r="G107" s="83"/>
      <c r="H107" s="83"/>
      <c r="N107" s="79"/>
      <c r="O107" s="79"/>
      <c r="P107" s="79"/>
      <c r="Q107" s="80"/>
      <c r="R107" s="79"/>
      <c r="S107" s="79"/>
      <c r="T107" s="79"/>
      <c r="U107" s="79"/>
      <c r="V107" s="125"/>
      <c r="W107" s="79"/>
      <c r="X107" s="79"/>
      <c r="Y107" s="81"/>
    </row>
    <row r="108" spans="2:25" ht="12.45" customHeight="1" x14ac:dyDescent="0.25">
      <c r="B108" s="19"/>
      <c r="C108" s="19"/>
      <c r="D108" s="19"/>
      <c r="E108" s="19"/>
      <c r="F108" s="83"/>
      <c r="G108" s="83"/>
      <c r="H108" s="83"/>
      <c r="N108" s="79"/>
      <c r="O108" s="79"/>
      <c r="P108" s="79"/>
      <c r="Q108" s="80"/>
      <c r="R108" s="79"/>
      <c r="S108" s="79"/>
      <c r="T108" s="79"/>
      <c r="U108" s="79"/>
      <c r="V108" s="125"/>
      <c r="W108" s="79"/>
      <c r="X108" s="79"/>
      <c r="Y108" s="81"/>
    </row>
    <row r="109" spans="2:25" ht="12.45" customHeight="1" x14ac:dyDescent="0.25">
      <c r="B109" s="19"/>
      <c r="C109" s="19"/>
      <c r="D109" s="19"/>
      <c r="E109" s="19"/>
      <c r="F109" s="83"/>
      <c r="G109" s="83"/>
      <c r="H109" s="83"/>
      <c r="N109" s="79"/>
      <c r="O109" s="79"/>
      <c r="P109" s="79"/>
      <c r="Q109" s="80"/>
      <c r="R109" s="79"/>
      <c r="S109" s="79"/>
      <c r="T109" s="79"/>
      <c r="U109" s="79"/>
      <c r="V109" s="125"/>
      <c r="W109" s="79"/>
      <c r="X109" s="79"/>
      <c r="Y109" s="81"/>
    </row>
    <row r="110" spans="2:25" ht="12.45" customHeight="1" x14ac:dyDescent="0.25">
      <c r="B110" s="19"/>
      <c r="C110" s="19"/>
      <c r="D110" s="19"/>
      <c r="E110" s="19"/>
      <c r="F110" s="83"/>
      <c r="G110" s="83"/>
      <c r="H110" s="83"/>
      <c r="N110" s="79"/>
      <c r="O110" s="79"/>
      <c r="P110" s="79"/>
      <c r="Q110" s="80"/>
      <c r="R110" s="79"/>
      <c r="S110" s="79"/>
      <c r="T110" s="79"/>
      <c r="U110" s="79"/>
      <c r="V110" s="125"/>
      <c r="W110" s="79"/>
      <c r="X110" s="79"/>
      <c r="Y110" s="81"/>
    </row>
    <row r="111" spans="2:25" ht="12.45" customHeight="1" x14ac:dyDescent="0.25">
      <c r="B111" s="19"/>
      <c r="C111" s="19"/>
      <c r="D111" s="19"/>
      <c r="E111" s="19"/>
      <c r="F111" s="83"/>
      <c r="G111" s="83"/>
      <c r="H111" s="83"/>
      <c r="N111" s="79"/>
      <c r="O111" s="79"/>
      <c r="P111" s="79"/>
      <c r="Q111" s="80"/>
      <c r="R111" s="79"/>
      <c r="S111" s="79"/>
      <c r="T111" s="79"/>
      <c r="U111" s="79"/>
      <c r="V111" s="125"/>
      <c r="W111" s="79"/>
      <c r="X111" s="79"/>
      <c r="Y111" s="81"/>
    </row>
    <row r="112" spans="2:25" ht="12.45" customHeight="1" x14ac:dyDescent="0.25">
      <c r="B112" s="19"/>
      <c r="C112" s="19"/>
      <c r="D112" s="19"/>
      <c r="E112" s="19"/>
      <c r="F112" s="83"/>
      <c r="G112" s="83"/>
      <c r="H112" s="83"/>
      <c r="N112" s="79"/>
      <c r="O112" s="79"/>
      <c r="P112" s="79"/>
      <c r="Q112" s="80"/>
      <c r="R112" s="79"/>
      <c r="S112" s="79"/>
      <c r="T112" s="79"/>
      <c r="U112" s="79"/>
      <c r="V112" s="125"/>
      <c r="W112" s="79"/>
      <c r="X112" s="79"/>
      <c r="Y112" s="81"/>
    </row>
    <row r="113" spans="2:25" ht="12.45" customHeight="1" x14ac:dyDescent="0.25">
      <c r="B113" s="19"/>
      <c r="C113" s="19"/>
      <c r="D113" s="19"/>
      <c r="E113" s="19"/>
      <c r="F113" s="83"/>
      <c r="G113" s="83"/>
      <c r="H113" s="83"/>
      <c r="N113" s="79"/>
      <c r="O113" s="79"/>
      <c r="P113" s="79"/>
      <c r="Q113" s="80"/>
      <c r="R113" s="79"/>
      <c r="S113" s="79"/>
      <c r="T113" s="79"/>
      <c r="U113" s="79"/>
      <c r="V113" s="125"/>
      <c r="W113" s="79"/>
      <c r="X113" s="79"/>
      <c r="Y113" s="81"/>
    </row>
    <row r="114" spans="2:25" ht="12.45" customHeight="1" x14ac:dyDescent="0.25">
      <c r="B114" s="19"/>
      <c r="C114" s="19"/>
      <c r="D114" s="19"/>
      <c r="E114" s="19"/>
      <c r="F114" s="83"/>
      <c r="G114" s="83"/>
      <c r="H114" s="83"/>
      <c r="N114" s="79"/>
      <c r="O114" s="79"/>
      <c r="P114" s="79"/>
      <c r="Q114" s="80"/>
      <c r="R114" s="79"/>
      <c r="S114" s="79"/>
      <c r="T114" s="79"/>
      <c r="U114" s="79"/>
      <c r="V114" s="125"/>
      <c r="W114" s="79"/>
      <c r="X114" s="79"/>
      <c r="Y114" s="81"/>
    </row>
    <row r="115" spans="2:25" ht="12.45" customHeight="1" x14ac:dyDescent="0.25">
      <c r="B115" s="19"/>
      <c r="C115" s="19"/>
      <c r="D115" s="19"/>
      <c r="E115" s="19"/>
      <c r="F115" s="83"/>
      <c r="G115" s="83"/>
      <c r="H115" s="83"/>
      <c r="N115" s="79"/>
      <c r="O115" s="79"/>
      <c r="P115" s="79"/>
      <c r="Q115" s="80"/>
      <c r="R115" s="79"/>
      <c r="S115" s="79"/>
      <c r="T115" s="79"/>
      <c r="U115" s="79"/>
      <c r="V115" s="125"/>
      <c r="W115" s="79"/>
      <c r="X115" s="79"/>
      <c r="Y115" s="81"/>
    </row>
    <row r="116" spans="2:25" ht="12.45" customHeight="1" x14ac:dyDescent="0.25">
      <c r="B116" s="19"/>
      <c r="C116" s="19"/>
      <c r="D116" s="19"/>
      <c r="E116" s="19"/>
      <c r="F116" s="83"/>
      <c r="G116" s="83"/>
      <c r="H116" s="83"/>
      <c r="N116" s="79"/>
      <c r="O116" s="79"/>
      <c r="P116" s="79"/>
      <c r="Q116" s="80"/>
      <c r="R116" s="79"/>
      <c r="S116" s="79"/>
      <c r="T116" s="79"/>
      <c r="U116" s="79"/>
      <c r="V116" s="125"/>
      <c r="W116" s="79"/>
      <c r="X116" s="79"/>
      <c r="Y116" s="81"/>
    </row>
    <row r="117" spans="2:25" ht="12.45" customHeight="1" x14ac:dyDescent="0.25">
      <c r="B117" s="19"/>
      <c r="C117" s="19"/>
      <c r="D117" s="19"/>
      <c r="E117" s="19"/>
      <c r="F117" s="83"/>
      <c r="G117" s="83"/>
      <c r="H117" s="83"/>
      <c r="N117" s="79"/>
      <c r="O117" s="79"/>
      <c r="P117" s="79"/>
      <c r="Q117" s="80"/>
      <c r="R117" s="79"/>
      <c r="S117" s="79"/>
      <c r="T117" s="79"/>
      <c r="U117" s="79"/>
      <c r="V117" s="125"/>
      <c r="W117" s="79"/>
      <c r="X117" s="79"/>
      <c r="Y117" s="81"/>
    </row>
    <row r="118" spans="2:25" ht="12.45" customHeight="1" x14ac:dyDescent="0.25">
      <c r="B118" s="19"/>
      <c r="C118" s="19"/>
      <c r="D118" s="19"/>
      <c r="E118" s="19"/>
      <c r="F118" s="83"/>
      <c r="G118" s="83"/>
      <c r="H118" s="83"/>
      <c r="N118" s="79"/>
      <c r="O118" s="79"/>
      <c r="P118" s="79"/>
      <c r="Q118" s="80"/>
      <c r="R118" s="79"/>
      <c r="S118" s="79"/>
      <c r="T118" s="79"/>
      <c r="U118" s="79"/>
      <c r="V118" s="125"/>
      <c r="W118" s="79"/>
      <c r="X118" s="79"/>
      <c r="Y118" s="81"/>
    </row>
    <row r="119" spans="2:25" ht="12.45" customHeight="1" x14ac:dyDescent="0.25">
      <c r="B119" s="19"/>
      <c r="C119" s="19"/>
      <c r="D119" s="19"/>
      <c r="E119" s="19"/>
      <c r="F119" s="83"/>
      <c r="G119" s="83"/>
      <c r="H119" s="83"/>
      <c r="N119" s="79"/>
      <c r="O119" s="79"/>
      <c r="P119" s="79"/>
      <c r="Q119" s="80"/>
      <c r="R119" s="79"/>
      <c r="S119" s="79"/>
      <c r="T119" s="79"/>
      <c r="U119" s="79"/>
      <c r="V119" s="125"/>
      <c r="W119" s="79"/>
      <c r="X119" s="79"/>
      <c r="Y119" s="81"/>
    </row>
    <row r="120" spans="2:25" x14ac:dyDescent="0.25">
      <c r="N120" s="79"/>
      <c r="O120" s="79"/>
      <c r="P120" s="79"/>
      <c r="Q120" s="80"/>
      <c r="R120" s="79"/>
      <c r="S120" s="79"/>
      <c r="T120" s="79"/>
      <c r="U120" s="79"/>
      <c r="V120" s="125"/>
      <c r="W120" s="79"/>
      <c r="X120" s="79"/>
      <c r="Y120" s="81"/>
    </row>
    <row r="121" spans="2:25" x14ac:dyDescent="0.25">
      <c r="N121" s="79"/>
      <c r="O121" s="79"/>
      <c r="P121" s="79"/>
      <c r="Q121" s="80"/>
      <c r="R121" s="79"/>
      <c r="S121" s="79"/>
      <c r="T121" s="79"/>
      <c r="U121" s="79"/>
      <c r="V121" s="125"/>
      <c r="W121" s="79"/>
      <c r="X121" s="79"/>
      <c r="Y121" s="81"/>
    </row>
    <row r="122" spans="2:25" x14ac:dyDescent="0.25">
      <c r="N122" s="79"/>
      <c r="O122" s="79"/>
      <c r="P122" s="79"/>
      <c r="Q122" s="80"/>
      <c r="R122" s="79"/>
      <c r="S122" s="79"/>
      <c r="T122" s="79"/>
      <c r="U122" s="79"/>
      <c r="V122" s="125"/>
      <c r="W122" s="79"/>
      <c r="X122" s="79"/>
      <c r="Y122" s="81"/>
    </row>
    <row r="123" spans="2:25" x14ac:dyDescent="0.25">
      <c r="N123" s="79"/>
      <c r="O123" s="79"/>
      <c r="P123" s="79"/>
      <c r="Q123" s="80"/>
      <c r="R123" s="79"/>
      <c r="S123" s="79"/>
      <c r="T123" s="79"/>
      <c r="U123" s="79"/>
      <c r="V123" s="125"/>
      <c r="W123" s="79"/>
      <c r="X123" s="79"/>
      <c r="Y123" s="81"/>
    </row>
    <row r="124" spans="2:25" x14ac:dyDescent="0.25">
      <c r="N124" s="79"/>
      <c r="O124" s="79"/>
      <c r="P124" s="79"/>
      <c r="Q124" s="80"/>
      <c r="R124" s="79"/>
      <c r="S124" s="79"/>
      <c r="T124" s="79"/>
      <c r="U124" s="79"/>
      <c r="V124" s="125"/>
      <c r="W124" s="79"/>
      <c r="X124" s="79"/>
      <c r="Y124" s="81"/>
    </row>
    <row r="125" spans="2:25" x14ac:dyDescent="0.25">
      <c r="N125" s="79"/>
      <c r="O125" s="79"/>
      <c r="P125" s="79"/>
      <c r="Q125" s="79"/>
      <c r="R125" s="79"/>
      <c r="S125" s="79"/>
      <c r="T125" s="79"/>
      <c r="U125" s="79"/>
      <c r="V125" s="125"/>
      <c r="W125" s="79"/>
      <c r="X125" s="79"/>
      <c r="Y125" s="81"/>
    </row>
    <row r="126" spans="2:25" x14ac:dyDescent="0.25">
      <c r="N126" s="79"/>
      <c r="O126" s="79"/>
      <c r="P126" s="79"/>
      <c r="Q126" s="79"/>
      <c r="R126" s="79"/>
      <c r="S126" s="79"/>
      <c r="T126" s="79"/>
      <c r="U126" s="79"/>
      <c r="V126" s="125"/>
      <c r="W126" s="79"/>
      <c r="X126" s="79"/>
      <c r="Y126" s="81"/>
    </row>
    <row r="127" spans="2:25" x14ac:dyDescent="0.25">
      <c r="N127" s="79"/>
      <c r="O127" s="79"/>
      <c r="P127" s="79"/>
      <c r="Q127" s="79"/>
      <c r="R127" s="79"/>
      <c r="S127" s="79"/>
      <c r="T127" s="79"/>
      <c r="U127" s="79"/>
      <c r="V127" s="125"/>
      <c r="W127" s="79"/>
      <c r="X127" s="79"/>
      <c r="Y127" s="81"/>
    </row>
    <row r="128" spans="2:25" x14ac:dyDescent="0.25">
      <c r="N128" s="79"/>
      <c r="O128" s="79"/>
      <c r="P128" s="79"/>
      <c r="Q128" s="79"/>
      <c r="R128" s="79"/>
      <c r="S128" s="79"/>
      <c r="T128" s="79"/>
      <c r="U128" s="79"/>
      <c r="V128" s="125"/>
      <c r="W128" s="79"/>
      <c r="X128" s="79"/>
      <c r="Y128" s="81"/>
    </row>
    <row r="129" spans="14:25" x14ac:dyDescent="0.25">
      <c r="N129" s="79"/>
      <c r="O129" s="79"/>
      <c r="P129" s="79"/>
      <c r="Q129" s="79"/>
      <c r="R129" s="79"/>
      <c r="S129" s="79"/>
      <c r="T129" s="79"/>
      <c r="U129" s="79"/>
      <c r="V129" s="125"/>
      <c r="W129" s="79"/>
      <c r="X129" s="79"/>
      <c r="Y129" s="81"/>
    </row>
    <row r="130" spans="14:25" x14ac:dyDescent="0.25">
      <c r="N130" s="81"/>
      <c r="O130" s="81"/>
      <c r="P130" s="81"/>
      <c r="Q130" s="81"/>
      <c r="R130" s="81"/>
      <c r="S130" s="81"/>
      <c r="T130" s="81"/>
      <c r="U130" s="81"/>
      <c r="W130" s="81"/>
      <c r="X130" s="81"/>
      <c r="Y130" s="81"/>
    </row>
  </sheetData>
  <sheetProtection password="C1AF" sheet="1" selectLockedCells="1" selectUnlockedCells="1"/>
  <mergeCells count="13">
    <mergeCell ref="N7:O7"/>
    <mergeCell ref="A1:E1"/>
    <mergeCell ref="A25:A29"/>
    <mergeCell ref="A16:A19"/>
    <mergeCell ref="A9:A13"/>
    <mergeCell ref="A5:A8"/>
    <mergeCell ref="R38:W38"/>
    <mergeCell ref="R50:W50"/>
    <mergeCell ref="A20:A23"/>
    <mergeCell ref="S26:T26"/>
    <mergeCell ref="U26:V26"/>
    <mergeCell ref="A30:E30"/>
    <mergeCell ref="R20:W20"/>
  </mergeCells>
  <phoneticPr fontId="6" type="noConversion"/>
  <printOptions horizontalCentered="1" verticalCentered="1"/>
  <pageMargins left="0.78740157480314965" right="0.78740157480314965" top="0.78740157480314965" bottom="0.51181102362204722" header="0" footer="0"/>
  <pageSetup paperSize="9" scale="79" orientation="landscape" horizontalDpi="200" verticalDpi="200" r:id="rId1"/>
  <headerFooter alignWithMargins="0"/>
  <ignoredErrors>
    <ignoredError sqref="T35:U35"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9"/>
  </sheetPr>
  <dimension ref="A1:V25"/>
  <sheetViews>
    <sheetView showGridLines="0" showRowColHeaders="0" workbookViewId="0">
      <selection activeCell="A26" sqref="A26"/>
    </sheetView>
  </sheetViews>
  <sheetFormatPr defaultRowHeight="13.2" x14ac:dyDescent="0.25"/>
  <sheetData>
    <row r="1" spans="1:11" ht="15.6" x14ac:dyDescent="0.25">
      <c r="A1" s="256" t="s">
        <v>69</v>
      </c>
      <c r="B1" s="257"/>
      <c r="C1" s="257"/>
      <c r="D1" s="257"/>
      <c r="E1" s="257"/>
      <c r="F1" s="257"/>
      <c r="G1" s="257"/>
      <c r="H1" s="257"/>
      <c r="I1" s="257"/>
      <c r="J1" s="257"/>
      <c r="K1" s="257"/>
    </row>
    <row r="2" spans="1:11" s="89" customFormat="1" x14ac:dyDescent="0.25">
      <c r="A2" s="88" t="s">
        <v>82</v>
      </c>
    </row>
    <row r="3" spans="1:11" x14ac:dyDescent="0.25">
      <c r="A3" s="73" t="s">
        <v>88</v>
      </c>
    </row>
    <row r="4" spans="1:11" s="89" customFormat="1" x14ac:dyDescent="0.25">
      <c r="A4" s="88" t="s">
        <v>70</v>
      </c>
    </row>
    <row r="5" spans="1:11" x14ac:dyDescent="0.25">
      <c r="A5" s="73" t="s">
        <v>89</v>
      </c>
    </row>
    <row r="6" spans="1:11" s="89" customFormat="1" x14ac:dyDescent="0.25">
      <c r="A6" s="88" t="s">
        <v>68</v>
      </c>
    </row>
    <row r="7" spans="1:11" x14ac:dyDescent="0.25">
      <c r="A7" s="73" t="s">
        <v>83</v>
      </c>
    </row>
    <row r="8" spans="1:11" s="89" customFormat="1" x14ac:dyDescent="0.25">
      <c r="A8" s="88" t="s">
        <v>92</v>
      </c>
    </row>
    <row r="9" spans="1:11" x14ac:dyDescent="0.25">
      <c r="A9" s="73" t="s">
        <v>90</v>
      </c>
    </row>
    <row r="10" spans="1:11" s="89" customFormat="1" x14ac:dyDescent="0.25">
      <c r="A10" s="88" t="s">
        <v>91</v>
      </c>
    </row>
    <row r="11" spans="1:11" s="12" customFormat="1" x14ac:dyDescent="0.25">
      <c r="A11" s="105" t="s">
        <v>136</v>
      </c>
    </row>
    <row r="12" spans="1:11" s="12" customFormat="1" x14ac:dyDescent="0.25">
      <c r="A12" s="105" t="s">
        <v>86</v>
      </c>
    </row>
    <row r="13" spans="1:11" s="12" customFormat="1" x14ac:dyDescent="0.25">
      <c r="A13" s="105" t="s">
        <v>87</v>
      </c>
    </row>
    <row r="14" spans="1:11" s="12" customFormat="1" x14ac:dyDescent="0.25">
      <c r="A14" s="105" t="s">
        <v>73</v>
      </c>
    </row>
    <row r="15" spans="1:11" s="12" customFormat="1" x14ac:dyDescent="0.25">
      <c r="A15" s="105" t="s">
        <v>74</v>
      </c>
    </row>
    <row r="16" spans="1:11" s="12" customFormat="1" x14ac:dyDescent="0.25">
      <c r="A16" s="105" t="s">
        <v>93</v>
      </c>
    </row>
    <row r="17" spans="1:22" s="12" customFormat="1" ht="26.4" customHeight="1" x14ac:dyDescent="0.25">
      <c r="A17" s="260" t="s">
        <v>137</v>
      </c>
      <c r="B17" s="261"/>
      <c r="C17" s="261"/>
      <c r="D17" s="261"/>
      <c r="E17" s="261"/>
      <c r="F17" s="261"/>
      <c r="G17" s="261"/>
      <c r="H17" s="261"/>
      <c r="I17" s="261"/>
      <c r="J17" s="261"/>
      <c r="K17" s="261"/>
      <c r="L17" s="261"/>
      <c r="M17" s="261"/>
      <c r="N17" s="261"/>
      <c r="O17" s="261"/>
      <c r="P17" s="261"/>
      <c r="Q17" s="261"/>
      <c r="R17" s="261"/>
      <c r="S17" s="261"/>
      <c r="T17" s="261"/>
      <c r="U17" s="261"/>
      <c r="V17" s="261"/>
    </row>
    <row r="18" spans="1:22" s="89" customFormat="1" x14ac:dyDescent="0.25">
      <c r="A18" s="88" t="s">
        <v>94</v>
      </c>
    </row>
    <row r="19" spans="1:22" x14ac:dyDescent="0.25">
      <c r="A19" s="73" t="s">
        <v>102</v>
      </c>
    </row>
    <row r="20" spans="1:22" s="89" customFormat="1" ht="55.2" customHeight="1" x14ac:dyDescent="0.25">
      <c r="A20" s="258" t="s">
        <v>130</v>
      </c>
      <c r="B20" s="259"/>
      <c r="C20" s="259"/>
      <c r="D20" s="259"/>
      <c r="E20" s="259"/>
      <c r="F20" s="259"/>
      <c r="G20" s="259"/>
      <c r="H20" s="259"/>
      <c r="I20" s="259"/>
      <c r="J20" s="259"/>
      <c r="K20" s="259"/>
      <c r="L20" s="259"/>
      <c r="M20" s="259"/>
      <c r="N20" s="259"/>
      <c r="O20" s="259"/>
      <c r="P20" s="259"/>
      <c r="Q20" s="259"/>
      <c r="R20" s="259"/>
      <c r="S20" s="259"/>
      <c r="T20" s="259"/>
      <c r="U20" s="259"/>
      <c r="V20" s="259"/>
    </row>
    <row r="21" spans="1:22" ht="52.8" customHeight="1" x14ac:dyDescent="0.25">
      <c r="A21" s="262" t="s">
        <v>135</v>
      </c>
      <c r="B21" s="263"/>
      <c r="C21" s="263"/>
      <c r="D21" s="263"/>
      <c r="E21" s="263"/>
      <c r="F21" s="263"/>
      <c r="G21" s="263"/>
      <c r="H21" s="263"/>
      <c r="I21" s="263"/>
      <c r="J21" s="263"/>
      <c r="K21" s="263"/>
      <c r="L21" s="263"/>
      <c r="M21" s="263"/>
      <c r="N21" s="263"/>
      <c r="O21" s="263"/>
      <c r="P21" s="263"/>
      <c r="Q21" s="263"/>
      <c r="R21" s="263"/>
      <c r="S21" s="263"/>
      <c r="T21" s="263"/>
      <c r="U21" s="263"/>
      <c r="V21" s="263"/>
    </row>
    <row r="22" spans="1:22" s="89" customFormat="1" ht="15.6" customHeight="1" x14ac:dyDescent="0.25">
      <c r="A22" s="113" t="s">
        <v>127</v>
      </c>
      <c r="B22" s="112"/>
      <c r="C22" s="112"/>
      <c r="D22" s="112"/>
      <c r="E22" s="112"/>
      <c r="F22" s="112"/>
      <c r="G22" s="112"/>
      <c r="H22" s="112"/>
      <c r="I22" s="112"/>
      <c r="J22" s="112"/>
      <c r="K22" s="112"/>
      <c r="L22" s="112"/>
      <c r="M22" s="112"/>
      <c r="N22" s="112"/>
      <c r="O22" s="112"/>
      <c r="P22" s="112"/>
      <c r="Q22" s="112"/>
      <c r="R22" s="112"/>
      <c r="S22" s="112"/>
      <c r="T22" s="112"/>
      <c r="U22" s="112"/>
      <c r="V22" s="112"/>
    </row>
    <row r="23" spans="1:22" s="114" customFormat="1" x14ac:dyDescent="0.25">
      <c r="A23" s="114" t="s">
        <v>128</v>
      </c>
    </row>
    <row r="24" spans="1:22" s="89" customFormat="1" x14ac:dyDescent="0.25">
      <c r="A24" s="89" t="s">
        <v>134</v>
      </c>
    </row>
    <row r="25" spans="1:22" x14ac:dyDescent="0.25">
      <c r="A25" t="s">
        <v>139</v>
      </c>
    </row>
  </sheetData>
  <sheetProtection password="C1AF" sheet="1" objects="1" scenarios="1" selectLockedCells="1" selectUnlockedCells="1"/>
  <mergeCells count="4">
    <mergeCell ref="A1:K1"/>
    <mergeCell ref="A20:V20"/>
    <mergeCell ref="A17:V17"/>
    <mergeCell ref="A21:V2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5</vt:i4>
      </vt:variant>
    </vt:vector>
  </HeadingPairs>
  <TitlesOfParts>
    <vt:vector size="15" baseType="lpstr">
      <vt:lpstr>ИД и расчеты</vt:lpstr>
      <vt:lpstr>Индексы</vt:lpstr>
      <vt:lpstr>Породы</vt:lpstr>
      <vt:lpstr>Результаты</vt:lpstr>
      <vt:lpstr>Графики</vt:lpstr>
      <vt:lpstr>График CI</vt:lpstr>
      <vt:lpstr>График DsA</vt:lpstr>
      <vt:lpstr>График HI</vt:lpstr>
      <vt:lpstr>Анализ</vt:lpstr>
      <vt:lpstr>Что нового</vt:lpstr>
      <vt:lpstr>Анализ!Область_печати</vt:lpstr>
      <vt:lpstr>'ИД и расчеты'!Область_печати</vt:lpstr>
      <vt:lpstr>Индексы!Область_печати</vt:lpstr>
      <vt:lpstr>Породы!Область_печати</vt:lpstr>
      <vt:lpstr>Результаты!Область_печати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Сергей</cp:lastModifiedBy>
  <cp:lastPrinted>2016-10-29T15:16:34Z</cp:lastPrinted>
  <dcterms:created xsi:type="dcterms:W3CDTF">1996-10-08T23:32:33Z</dcterms:created>
  <dcterms:modified xsi:type="dcterms:W3CDTF">2021-10-11T05:34:39Z</dcterms:modified>
</cp:coreProperties>
</file>